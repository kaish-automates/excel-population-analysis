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fe9ba674a9c493/Projects/"/>
    </mc:Choice>
  </mc:AlternateContent>
  <xr:revisionPtr revIDLastSave="661" documentId="8_{0E2829DE-6E06-412C-9C0F-1A66DA3F7B97}" xr6:coauthVersionLast="47" xr6:coauthVersionMax="47" xr10:uidLastSave="{B85B9010-BC9B-41AB-990C-73CDA127BABD}"/>
  <bookViews>
    <workbookView xWindow="-110" yWindow="-110" windowWidth="19420" windowHeight="10300" activeTab="1" xr2:uid="{A485873F-7F2E-408B-962C-05D008A047BA}"/>
  </bookViews>
  <sheets>
    <sheet name="Population_Data" sheetId="1" r:id="rId1"/>
    <sheet name="Dashboard" sheetId="2" r:id="rId2"/>
  </sheets>
  <definedNames>
    <definedName name="_xlchart.v1.0" hidden="1">Dashboard!$B$21:$AC$21</definedName>
    <definedName name="_xlchart.v1.1" hidden="1">Dashboard!$B$22:$AC$22</definedName>
    <definedName name="_xlchart.v1.2" hidden="1">Dashboard!$B$51:$AC$51</definedName>
    <definedName name="_xlchart.v1.3" hidden="1">Dashboard!$B$52:$AC$52</definedName>
    <definedName name="_xlchart.v1.4" hidden="1">Dashboard!$B$51:$AC$51</definedName>
    <definedName name="_xlchart.v1.5" hidden="1">Dashboard!$B$52:$AC$52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L8" i="1"/>
  <c r="R8" i="1" s="1"/>
  <c r="L9" i="1"/>
  <c r="R9" i="1" s="1"/>
  <c r="L10" i="1"/>
  <c r="R10" i="1" s="1"/>
  <c r="L11" i="1"/>
  <c r="R11" i="1" s="1"/>
  <c r="L12" i="1"/>
  <c r="R12" i="1" s="1"/>
  <c r="L13" i="1"/>
  <c r="R13" i="1" s="1"/>
  <c r="L14" i="1"/>
  <c r="M14" i="1" s="1"/>
  <c r="N14" i="1" s="1"/>
  <c r="L15" i="1"/>
  <c r="L16" i="1"/>
  <c r="L17" i="1"/>
  <c r="L18" i="1"/>
  <c r="L19" i="1"/>
  <c r="L20" i="1"/>
  <c r="R20" i="1" s="1"/>
  <c r="L21" i="1"/>
  <c r="R21" i="1" s="1"/>
  <c r="L22" i="1"/>
  <c r="M22" i="1" s="1"/>
  <c r="N22" i="1" s="1"/>
  <c r="L23" i="1"/>
  <c r="M23" i="1" s="1"/>
  <c r="N23" i="1" s="1"/>
  <c r="L24" i="1"/>
  <c r="R24" i="1" s="1"/>
  <c r="L25" i="1"/>
  <c r="R25" i="1" s="1"/>
  <c r="L26" i="1"/>
  <c r="R26" i="1" s="1"/>
  <c r="L27" i="1"/>
  <c r="L28" i="1"/>
  <c r="L29" i="1"/>
  <c r="L30" i="1"/>
  <c r="L31" i="1"/>
  <c r="L32" i="1"/>
  <c r="R32" i="1" s="1"/>
  <c r="L33" i="1"/>
  <c r="R33" i="1" s="1"/>
  <c r="L34" i="1"/>
  <c r="Q34" i="1" s="1"/>
  <c r="L35" i="1"/>
  <c r="M35" i="1" s="1"/>
  <c r="N35" i="1" s="1"/>
  <c r="L36" i="1"/>
  <c r="Q36" i="1" s="1"/>
  <c r="L37" i="1"/>
  <c r="R37" i="1" s="1"/>
  <c r="L38" i="1"/>
  <c r="R38" i="1" s="1"/>
  <c r="L39" i="1"/>
  <c r="R39" i="1" s="1"/>
  <c r="L40" i="1"/>
  <c r="M40" i="1" s="1"/>
  <c r="N40" i="1" s="1"/>
  <c r="L41" i="1"/>
  <c r="Q41" i="1" s="1"/>
  <c r="L42" i="1"/>
  <c r="Q42" i="1" s="1"/>
  <c r="L43" i="1"/>
  <c r="L44" i="1"/>
  <c r="R44" i="1" s="1"/>
  <c r="L45" i="1"/>
  <c r="R45" i="1" s="1"/>
  <c r="L46" i="1"/>
  <c r="M46" i="1" s="1"/>
  <c r="N46" i="1" s="1"/>
  <c r="L47" i="1"/>
  <c r="R47" i="1" s="1"/>
  <c r="L48" i="1"/>
  <c r="R48" i="1" s="1"/>
  <c r="L49" i="1"/>
  <c r="L50" i="1"/>
  <c r="L51" i="1"/>
  <c r="L52" i="1"/>
  <c r="M52" i="1" s="1"/>
  <c r="N52" i="1" s="1"/>
  <c r="L53" i="1"/>
  <c r="M53" i="1" s="1"/>
  <c r="N53" i="1" s="1"/>
  <c r="L54" i="1"/>
  <c r="M54" i="1" s="1"/>
  <c r="N54" i="1" s="1"/>
  <c r="L55" i="1"/>
  <c r="L56" i="1"/>
  <c r="R56" i="1" s="1"/>
  <c r="L57" i="1"/>
  <c r="R57" i="1" s="1"/>
  <c r="L58" i="1"/>
  <c r="M58" i="1" s="1"/>
  <c r="N58" i="1" s="1"/>
  <c r="L59" i="1"/>
  <c r="L60" i="1"/>
  <c r="L61" i="1"/>
  <c r="L62" i="1"/>
  <c r="L63" i="1"/>
  <c r="R63" i="1" s="1"/>
  <c r="L64" i="1"/>
  <c r="L65" i="1"/>
  <c r="L66" i="1"/>
  <c r="L67" i="1"/>
  <c r="L68" i="1"/>
  <c r="R68" i="1" s="1"/>
  <c r="L69" i="1"/>
  <c r="R69" i="1" s="1"/>
  <c r="L70" i="1"/>
  <c r="R70" i="1" s="1"/>
  <c r="L71" i="1"/>
  <c r="R71" i="1" s="1"/>
  <c r="L72" i="1"/>
  <c r="R72" i="1" s="1"/>
  <c r="L73" i="1"/>
  <c r="R73" i="1" s="1"/>
  <c r="L74" i="1"/>
  <c r="L75" i="1"/>
  <c r="L76" i="1"/>
  <c r="L77" i="1"/>
  <c r="L78" i="1"/>
  <c r="L79" i="1"/>
  <c r="L80" i="1"/>
  <c r="R80" i="1" s="1"/>
  <c r="L81" i="1"/>
  <c r="R81" i="1" s="1"/>
  <c r="L82" i="1"/>
  <c r="R82" i="1" s="1"/>
  <c r="L83" i="1"/>
  <c r="R83" i="1" s="1"/>
  <c r="L84" i="1"/>
  <c r="R84" i="1" s="1"/>
  <c r="L85" i="1"/>
  <c r="R85" i="1" s="1"/>
  <c r="L86" i="1"/>
  <c r="R86" i="1" s="1"/>
  <c r="L87" i="1"/>
  <c r="L88" i="1"/>
  <c r="L89" i="1"/>
  <c r="L90" i="1"/>
  <c r="L91" i="1"/>
  <c r="R91" i="1" s="1"/>
  <c r="L92" i="1"/>
  <c r="R92" i="1" s="1"/>
  <c r="L93" i="1"/>
  <c r="R93" i="1" s="1"/>
  <c r="L94" i="1"/>
  <c r="R94" i="1" s="1"/>
  <c r="L95" i="1"/>
  <c r="R95" i="1" s="1"/>
  <c r="L96" i="1"/>
  <c r="R96" i="1" s="1"/>
  <c r="L97" i="1"/>
  <c r="R97" i="1" s="1"/>
  <c r="L98" i="1"/>
  <c r="R98" i="1" s="1"/>
  <c r="L99" i="1"/>
  <c r="L100" i="1"/>
  <c r="R100" i="1" s="1"/>
  <c r="L101" i="1"/>
  <c r="L102" i="1"/>
  <c r="Q102" i="1" s="1"/>
  <c r="L103" i="1"/>
  <c r="L104" i="1"/>
  <c r="R104" i="1" s="1"/>
  <c r="L105" i="1"/>
  <c r="R105" i="1" s="1"/>
  <c r="L106" i="1"/>
  <c r="M106" i="1" s="1"/>
  <c r="N106" i="1" s="1"/>
  <c r="L107" i="1"/>
  <c r="M107" i="1" s="1"/>
  <c r="N107" i="1" s="1"/>
  <c r="L108" i="1"/>
  <c r="Q108" i="1" s="1"/>
  <c r="L109" i="1"/>
  <c r="L110" i="1"/>
  <c r="R110" i="1" s="1"/>
  <c r="L111" i="1"/>
  <c r="R111" i="1" s="1"/>
  <c r="L112" i="1"/>
  <c r="L113" i="1"/>
  <c r="Q113" i="1" s="1"/>
  <c r="L114" i="1"/>
  <c r="L115" i="1"/>
  <c r="R115" i="1" s="1"/>
  <c r="L116" i="1"/>
  <c r="R116" i="1" s="1"/>
  <c r="L117" i="1"/>
  <c r="R117" i="1" s="1"/>
  <c r="L118" i="1"/>
  <c r="M118" i="1" s="1"/>
  <c r="N118" i="1" s="1"/>
  <c r="L119" i="1"/>
  <c r="M119" i="1" s="1"/>
  <c r="N119" i="1" s="1"/>
  <c r="L120" i="1"/>
  <c r="R120" i="1" s="1"/>
  <c r="L121" i="1"/>
  <c r="R121" i="1" s="1"/>
  <c r="L122" i="1"/>
  <c r="L123" i="1"/>
  <c r="L124" i="1"/>
  <c r="L125" i="1"/>
  <c r="L126" i="1"/>
  <c r="L127" i="1"/>
  <c r="R127" i="1" s="1"/>
  <c r="L128" i="1"/>
  <c r="R128" i="1" s="1"/>
  <c r="L129" i="1"/>
  <c r="R129" i="1" s="1"/>
  <c r="L130" i="1"/>
  <c r="M130" i="1" s="1"/>
  <c r="N130" i="1" s="1"/>
  <c r="L131" i="1"/>
  <c r="M131" i="1" s="1"/>
  <c r="N131" i="1" s="1"/>
  <c r="L132" i="1"/>
  <c r="R132" i="1" s="1"/>
  <c r="L133" i="1"/>
  <c r="M133" i="1" s="1"/>
  <c r="N133" i="1" s="1"/>
  <c r="L134" i="1"/>
  <c r="M134" i="1" s="1"/>
  <c r="N134" i="1" s="1"/>
  <c r="L135" i="1"/>
  <c r="L136" i="1"/>
  <c r="R136" i="1" s="1"/>
  <c r="L137" i="1"/>
  <c r="L138" i="1"/>
  <c r="L139" i="1"/>
  <c r="L140" i="1"/>
  <c r="R140" i="1" s="1"/>
  <c r="L141" i="1"/>
  <c r="R141" i="1" s="1"/>
  <c r="L142" i="1"/>
  <c r="R142" i="1" s="1"/>
  <c r="L143" i="1"/>
  <c r="M143" i="1" s="1"/>
  <c r="N143" i="1" s="1"/>
  <c r="L144" i="1"/>
  <c r="L145" i="1"/>
  <c r="L146" i="1"/>
  <c r="L147" i="1"/>
  <c r="L148" i="1"/>
  <c r="L149" i="1"/>
  <c r="R149" i="1" s="1"/>
  <c r="L150" i="1"/>
  <c r="R150" i="1" s="1"/>
  <c r="L151" i="1"/>
  <c r="R151" i="1" s="1"/>
  <c r="L152" i="1"/>
  <c r="R152" i="1" s="1"/>
  <c r="L153" i="1"/>
  <c r="R153" i="1" s="1"/>
  <c r="L154" i="1"/>
  <c r="R154" i="1" s="1"/>
  <c r="L155" i="1"/>
  <c r="R155" i="1" s="1"/>
  <c r="L156" i="1"/>
  <c r="R156" i="1" s="1"/>
  <c r="L157" i="1"/>
  <c r="L158" i="1"/>
  <c r="R158" i="1" s="1"/>
  <c r="L159" i="1"/>
  <c r="R159" i="1" s="1"/>
  <c r="L160" i="1"/>
  <c r="L161" i="1"/>
  <c r="Q161" i="1" s="1"/>
  <c r="L162" i="1"/>
  <c r="Q162" i="1" s="1"/>
  <c r="L163" i="1"/>
  <c r="M163" i="1" s="1"/>
  <c r="N163" i="1" s="1"/>
  <c r="L164" i="1"/>
  <c r="R164" i="1" s="1"/>
  <c r="L165" i="1"/>
  <c r="R165" i="1" s="1"/>
  <c r="L166" i="1"/>
  <c r="M166" i="1" s="1"/>
  <c r="N166" i="1" s="1"/>
  <c r="L167" i="1"/>
  <c r="M167" i="1" s="1"/>
  <c r="N167" i="1" s="1"/>
  <c r="L168" i="1"/>
  <c r="R168" i="1" s="1"/>
  <c r="L169" i="1"/>
  <c r="R169" i="1" s="1"/>
  <c r="L170" i="1"/>
  <c r="R170" i="1" s="1"/>
  <c r="L171" i="1"/>
  <c r="L172" i="1"/>
  <c r="Q172" i="1" s="1"/>
  <c r="L173" i="1"/>
  <c r="L174" i="1"/>
  <c r="L175" i="1"/>
  <c r="L176" i="1"/>
  <c r="R176" i="1" s="1"/>
  <c r="L177" i="1"/>
  <c r="R177" i="1" s="1"/>
  <c r="L178" i="1"/>
  <c r="Q178" i="1" s="1"/>
  <c r="L179" i="1"/>
  <c r="R179" i="1" s="1"/>
  <c r="L180" i="1"/>
  <c r="R180" i="1" s="1"/>
  <c r="L181" i="1"/>
  <c r="L182" i="1"/>
  <c r="R182" i="1" s="1"/>
  <c r="L183" i="1"/>
  <c r="R183" i="1" s="1"/>
  <c r="L184" i="1"/>
  <c r="R184" i="1" s="1"/>
  <c r="L185" i="1"/>
  <c r="L186" i="1"/>
  <c r="L187" i="1"/>
  <c r="R187" i="1" s="1"/>
  <c r="L188" i="1"/>
  <c r="R188" i="1" s="1"/>
  <c r="L189" i="1"/>
  <c r="R189" i="1" s="1"/>
  <c r="L190" i="1"/>
  <c r="M190" i="1" s="1"/>
  <c r="N190" i="1" s="1"/>
  <c r="L191" i="1"/>
  <c r="M191" i="1" s="1"/>
  <c r="N191" i="1" s="1"/>
  <c r="L192" i="1"/>
  <c r="R192" i="1" s="1"/>
  <c r="L193" i="1"/>
  <c r="R193" i="1" s="1"/>
  <c r="L194" i="1"/>
  <c r="R194" i="1" s="1"/>
  <c r="L195" i="1"/>
  <c r="L196" i="1"/>
  <c r="R196" i="1" s="1"/>
  <c r="L197" i="1"/>
  <c r="M197" i="1" s="1"/>
  <c r="N197" i="1" s="1"/>
  <c r="L198" i="1"/>
  <c r="M198" i="1" s="1"/>
  <c r="N198" i="1" s="1"/>
  <c r="L199" i="1"/>
  <c r="R199" i="1" s="1"/>
  <c r="L200" i="1"/>
  <c r="R200" i="1" s="1"/>
  <c r="L201" i="1"/>
  <c r="R201" i="1" s="1"/>
  <c r="L202" i="1"/>
  <c r="R202" i="1" s="1"/>
  <c r="L203" i="1"/>
  <c r="M203" i="1" s="1"/>
  <c r="N203" i="1" s="1"/>
  <c r="L204" i="1"/>
  <c r="R204" i="1" s="1"/>
  <c r="L205" i="1"/>
  <c r="R205" i="1" s="1"/>
  <c r="L206" i="1"/>
  <c r="Q206" i="1" s="1"/>
  <c r="L207" i="1"/>
  <c r="L208" i="1"/>
  <c r="L209" i="1"/>
  <c r="L210" i="1"/>
  <c r="L211" i="1"/>
  <c r="L212" i="1"/>
  <c r="R212" i="1" s="1"/>
  <c r="L213" i="1"/>
  <c r="R213" i="1" s="1"/>
  <c r="L214" i="1"/>
  <c r="R214" i="1" s="1"/>
  <c r="L215" i="1"/>
  <c r="R215" i="1" s="1"/>
  <c r="L216" i="1"/>
  <c r="M216" i="1" s="1"/>
  <c r="N216" i="1" s="1"/>
  <c r="L217" i="1"/>
  <c r="L218" i="1"/>
  <c r="M218" i="1" s="1"/>
  <c r="L219" i="1"/>
  <c r="L220" i="1"/>
  <c r="L221" i="1"/>
  <c r="L222" i="1"/>
  <c r="L223" i="1"/>
  <c r="R223" i="1" s="1"/>
  <c r="L224" i="1"/>
  <c r="R224" i="1" s="1"/>
  <c r="L225" i="1"/>
  <c r="R225" i="1" s="1"/>
  <c r="L226" i="1"/>
  <c r="R226" i="1" s="1"/>
  <c r="L227" i="1"/>
  <c r="R227" i="1" s="1"/>
  <c r="L228" i="1"/>
  <c r="R228" i="1" s="1"/>
  <c r="L229" i="1"/>
  <c r="L230" i="1"/>
  <c r="L231" i="1"/>
  <c r="R231" i="1" s="1"/>
  <c r="L232" i="1"/>
  <c r="M232" i="1" s="1"/>
  <c r="N232" i="1" s="1"/>
  <c r="L233" i="1"/>
  <c r="Q233" i="1" s="1"/>
  <c r="L234" i="1"/>
  <c r="Q234" i="1" s="1"/>
  <c r="L235" i="1"/>
  <c r="R235" i="1" s="1"/>
  <c r="L236" i="1"/>
  <c r="R236" i="1" s="1"/>
  <c r="L237" i="1"/>
  <c r="R237" i="1" s="1"/>
  <c r="L238" i="1"/>
  <c r="R238" i="1" s="1"/>
  <c r="L239" i="1"/>
  <c r="R239" i="1" s="1"/>
  <c r="L240" i="1"/>
  <c r="R240" i="1" s="1"/>
  <c r="L241" i="1"/>
  <c r="R241" i="1" s="1"/>
  <c r="L242" i="1"/>
  <c r="R242" i="1" s="1"/>
  <c r="L243" i="1"/>
  <c r="L244" i="1"/>
  <c r="L245" i="1"/>
  <c r="R245" i="1" s="1"/>
  <c r="L246" i="1"/>
  <c r="L247" i="1"/>
  <c r="R247" i="1" s="1"/>
  <c r="L248" i="1"/>
  <c r="R248" i="1" s="1"/>
  <c r="L249" i="1"/>
  <c r="R249" i="1" s="1"/>
  <c r="L250" i="1"/>
  <c r="R250" i="1" s="1"/>
  <c r="L251" i="1"/>
  <c r="R251" i="1" s="1"/>
  <c r="L252" i="1"/>
  <c r="L253" i="1"/>
  <c r="L254" i="1"/>
  <c r="R254" i="1" s="1"/>
  <c r="L255" i="1"/>
  <c r="R255" i="1" s="1"/>
  <c r="L256" i="1"/>
  <c r="L257" i="1"/>
  <c r="L258" i="1"/>
  <c r="L259" i="1"/>
  <c r="R259" i="1" s="1"/>
  <c r="L260" i="1"/>
  <c r="R260" i="1" s="1"/>
  <c r="L261" i="1"/>
  <c r="R261" i="1" s="1"/>
  <c r="L262" i="1"/>
  <c r="R262" i="1" s="1"/>
  <c r="L263" i="1"/>
  <c r="R263" i="1" s="1"/>
  <c r="L264" i="1"/>
  <c r="M264" i="1" s="1"/>
  <c r="N264" i="1" s="1"/>
  <c r="L265" i="1"/>
  <c r="L266" i="1"/>
  <c r="R266" i="1" s="1"/>
  <c r="L267" i="1"/>
  <c r="R267" i="1" s="1"/>
  <c r="L268" i="1"/>
  <c r="L269" i="1"/>
  <c r="L270" i="1"/>
  <c r="L271" i="1"/>
  <c r="L272" i="1"/>
  <c r="R272" i="1" s="1"/>
  <c r="L273" i="1"/>
  <c r="R273" i="1" s="1"/>
  <c r="L274" i="1"/>
  <c r="Q274" i="1" s="1"/>
  <c r="L275" i="1"/>
  <c r="M275" i="1" s="1"/>
  <c r="N275" i="1" s="1"/>
  <c r="L276" i="1"/>
  <c r="R276" i="1" s="1"/>
  <c r="L277" i="1"/>
  <c r="M277" i="1" s="1"/>
  <c r="N277" i="1" s="1"/>
  <c r="L278" i="1"/>
  <c r="L279" i="1"/>
  <c r="M279" i="1" s="1"/>
  <c r="N279" i="1" s="1"/>
  <c r="L280" i="1"/>
  <c r="R280" i="1" s="1"/>
  <c r="L281" i="1"/>
  <c r="L282" i="1"/>
  <c r="L283" i="1"/>
  <c r="R283" i="1" s="1"/>
  <c r="L284" i="1"/>
  <c r="R284" i="1" s="1"/>
  <c r="L285" i="1"/>
  <c r="R285" i="1" s="1"/>
  <c r="L286" i="1"/>
  <c r="R286" i="1" s="1"/>
  <c r="L287" i="1"/>
  <c r="R287" i="1" s="1"/>
  <c r="L288" i="1"/>
  <c r="R288" i="1" s="1"/>
  <c r="L289" i="1"/>
  <c r="M289" i="1" s="1"/>
  <c r="N289" i="1" s="1"/>
  <c r="L290" i="1"/>
  <c r="M290" i="1" s="1"/>
  <c r="N290" i="1" s="1"/>
  <c r="L291" i="1"/>
  <c r="L292" i="1"/>
  <c r="R292" i="1" s="1"/>
  <c r="L293" i="1"/>
  <c r="R293" i="1" s="1"/>
  <c r="L294" i="1"/>
  <c r="R294" i="1" s="1"/>
  <c r="L295" i="1"/>
  <c r="L296" i="1"/>
  <c r="R296" i="1" s="1"/>
  <c r="L297" i="1"/>
  <c r="R297" i="1" s="1"/>
  <c r="L298" i="1"/>
  <c r="R298" i="1" s="1"/>
  <c r="L299" i="1"/>
  <c r="R299" i="1" s="1"/>
  <c r="L300" i="1"/>
  <c r="R300" i="1" s="1"/>
  <c r="L301" i="1"/>
  <c r="M301" i="1" s="1"/>
  <c r="N301" i="1" s="1"/>
  <c r="L302" i="1"/>
  <c r="M302" i="1" s="1"/>
  <c r="N302" i="1" s="1"/>
  <c r="L303" i="1"/>
  <c r="L304" i="1"/>
  <c r="L305" i="1"/>
  <c r="Q305" i="1" s="1"/>
  <c r="L306" i="1"/>
  <c r="Q306" i="1" s="1"/>
  <c r="L307" i="1"/>
  <c r="L308" i="1"/>
  <c r="R308" i="1" s="1"/>
  <c r="L309" i="1"/>
  <c r="R309" i="1" s="1"/>
  <c r="L310" i="1"/>
  <c r="Q310" i="1" s="1"/>
  <c r="L311" i="1"/>
  <c r="L312" i="1"/>
  <c r="R312" i="1" s="1"/>
  <c r="L313" i="1"/>
  <c r="R313" i="1" s="1"/>
  <c r="L314" i="1"/>
  <c r="R314" i="1" s="1"/>
  <c r="L315" i="1"/>
  <c r="L316" i="1"/>
  <c r="L317" i="1"/>
  <c r="L318" i="1"/>
  <c r="L319" i="1"/>
  <c r="R319" i="1" s="1"/>
  <c r="L320" i="1"/>
  <c r="R320" i="1" s="1"/>
  <c r="L321" i="1"/>
  <c r="R321" i="1" s="1"/>
  <c r="L322" i="1"/>
  <c r="Q322" i="1" s="1"/>
  <c r="L323" i="1"/>
  <c r="R323" i="1" s="1"/>
  <c r="L324" i="1"/>
  <c r="R324" i="1" s="1"/>
  <c r="L325" i="1"/>
  <c r="L326" i="1"/>
  <c r="R326" i="1" s="1"/>
  <c r="L327" i="1"/>
  <c r="R327" i="1" s="1"/>
  <c r="L328" i="1"/>
  <c r="L329" i="1"/>
  <c r="L330" i="1"/>
  <c r="L331" i="1"/>
  <c r="L332" i="1"/>
  <c r="R332" i="1" s="1"/>
  <c r="L333" i="1"/>
  <c r="R333" i="1" s="1"/>
  <c r="L334" i="1"/>
  <c r="M334" i="1" s="1"/>
  <c r="N334" i="1" s="1"/>
  <c r="L335" i="1"/>
  <c r="M335" i="1" s="1"/>
  <c r="N335" i="1" s="1"/>
  <c r="L336" i="1"/>
  <c r="Q336" i="1" s="1"/>
  <c r="L337" i="1"/>
  <c r="M337" i="1" s="1"/>
  <c r="L338" i="1"/>
  <c r="L339" i="1"/>
  <c r="R339" i="1" s="1"/>
  <c r="L340" i="1"/>
  <c r="R340" i="1" s="1"/>
  <c r="L341" i="1"/>
  <c r="L342" i="1"/>
  <c r="L343" i="1"/>
  <c r="R343" i="1" s="1"/>
  <c r="L344" i="1"/>
  <c r="R344" i="1" s="1"/>
  <c r="L345" i="1"/>
  <c r="R345" i="1" s="1"/>
  <c r="L346" i="1"/>
  <c r="R346" i="1" s="1"/>
  <c r="L347" i="1"/>
  <c r="R347" i="1" s="1"/>
  <c r="L348" i="1"/>
  <c r="L349" i="1"/>
  <c r="M349" i="1" s="1"/>
  <c r="L350" i="1"/>
  <c r="L351" i="1"/>
  <c r="L352" i="1"/>
  <c r="L353" i="1"/>
  <c r="L354" i="1"/>
  <c r="L355" i="1"/>
  <c r="R355" i="1" s="1"/>
  <c r="L356" i="1"/>
  <c r="R356" i="1" s="1"/>
  <c r="L357" i="1"/>
  <c r="R357" i="1" s="1"/>
  <c r="L358" i="1"/>
  <c r="R358" i="1" s="1"/>
  <c r="L359" i="1"/>
  <c r="L360" i="1"/>
  <c r="R360" i="1" s="1"/>
  <c r="L361" i="1"/>
  <c r="R361" i="1" s="1"/>
  <c r="L362" i="1"/>
  <c r="Q362" i="1" s="1"/>
  <c r="L363" i="1"/>
  <c r="L364" i="1"/>
  <c r="L365" i="1"/>
  <c r="L366" i="1"/>
  <c r="L367" i="1"/>
  <c r="L368" i="1"/>
  <c r="R368" i="1" s="1"/>
  <c r="L369" i="1"/>
  <c r="R369" i="1" s="1"/>
  <c r="L370" i="1"/>
  <c r="R370" i="1" s="1"/>
  <c r="L371" i="1"/>
  <c r="R371" i="1" s="1"/>
  <c r="L372" i="1"/>
  <c r="M372" i="1" s="1"/>
  <c r="N372" i="1" s="1"/>
  <c r="L373" i="1"/>
  <c r="M373" i="1" s="1"/>
  <c r="N373" i="1" s="1"/>
  <c r="L374" i="1"/>
  <c r="M374" i="1" s="1"/>
  <c r="N374" i="1" s="1"/>
  <c r="L375" i="1"/>
  <c r="R375" i="1" s="1"/>
  <c r="L376" i="1"/>
  <c r="L377" i="1"/>
  <c r="L378" i="1"/>
  <c r="L379" i="1"/>
  <c r="R379" i="1" s="1"/>
  <c r="L380" i="1"/>
  <c r="R380" i="1" s="1"/>
  <c r="L381" i="1"/>
  <c r="R381" i="1" s="1"/>
  <c r="L382" i="1"/>
  <c r="R382" i="1" s="1"/>
  <c r="L383" i="1"/>
  <c r="R383" i="1" s="1"/>
  <c r="L384" i="1"/>
  <c r="R384" i="1" s="1"/>
  <c r="L385" i="1"/>
  <c r="Q385" i="1" s="1"/>
  <c r="L386" i="1"/>
  <c r="L387" i="1"/>
  <c r="L388" i="1"/>
  <c r="R388" i="1" s="1"/>
  <c r="L389" i="1"/>
  <c r="R389" i="1" s="1"/>
  <c r="L390" i="1"/>
  <c r="R390" i="1" s="1"/>
  <c r="L391" i="1"/>
  <c r="M391" i="1" s="1"/>
  <c r="L392" i="1"/>
  <c r="R392" i="1" s="1"/>
  <c r="L393" i="1"/>
  <c r="R393" i="1" s="1"/>
  <c r="L394" i="1"/>
  <c r="R394" i="1" s="1"/>
  <c r="L395" i="1"/>
  <c r="R395" i="1" s="1"/>
  <c r="L396" i="1"/>
  <c r="R396" i="1" s="1"/>
  <c r="L397" i="1"/>
  <c r="R397" i="1" s="1"/>
  <c r="L398" i="1"/>
  <c r="M398" i="1" s="1"/>
  <c r="N398" i="1" s="1"/>
  <c r="L399" i="1"/>
  <c r="L400" i="1"/>
  <c r="L401" i="1"/>
  <c r="L402" i="1"/>
  <c r="Q402" i="1" s="1"/>
  <c r="L403" i="1"/>
  <c r="R403" i="1" s="1"/>
  <c r="L404" i="1"/>
  <c r="R404" i="1" s="1"/>
  <c r="L405" i="1"/>
  <c r="L406" i="1"/>
  <c r="L407" i="1"/>
  <c r="M407" i="1" s="1"/>
  <c r="N407" i="1" s="1"/>
  <c r="L408" i="1"/>
  <c r="R408" i="1" s="1"/>
  <c r="L409" i="1"/>
  <c r="R409" i="1" s="1"/>
  <c r="L410" i="1"/>
  <c r="R410" i="1" s="1"/>
  <c r="L411" i="1"/>
  <c r="L412" i="1"/>
  <c r="L413" i="1"/>
  <c r="Q413" i="1" s="1"/>
  <c r="L414" i="1"/>
  <c r="Q414" i="1" s="1"/>
  <c r="L415" i="1"/>
  <c r="L416" i="1"/>
  <c r="R416" i="1" s="1"/>
  <c r="L417" i="1"/>
  <c r="M417" i="1" s="1"/>
  <c r="N417" i="1" s="1"/>
  <c r="L418" i="1"/>
  <c r="R418" i="1" s="1"/>
  <c r="L419" i="1"/>
  <c r="R419" i="1" s="1"/>
  <c r="L420" i="1"/>
  <c r="R420" i="1" s="1"/>
  <c r="L421" i="1"/>
  <c r="R421" i="1" s="1"/>
  <c r="L422" i="1"/>
  <c r="R422" i="1" s="1"/>
  <c r="L423" i="1"/>
  <c r="R423" i="1" s="1"/>
  <c r="L424" i="1"/>
  <c r="R424" i="1" s="1"/>
  <c r="L425" i="1"/>
  <c r="L426" i="1"/>
  <c r="L427" i="1"/>
  <c r="R427" i="1" s="1"/>
  <c r="L428" i="1"/>
  <c r="R428" i="1" s="1"/>
  <c r="L429" i="1"/>
  <c r="R429" i="1" s="1"/>
  <c r="L430" i="1"/>
  <c r="R430" i="1" s="1"/>
  <c r="L431" i="1"/>
  <c r="R431" i="1" s="1"/>
  <c r="L432" i="1"/>
  <c r="L433" i="1"/>
  <c r="L434" i="1"/>
  <c r="R434" i="1" s="1"/>
  <c r="L435" i="1"/>
  <c r="R435" i="1" s="1"/>
  <c r="L436" i="1"/>
  <c r="R436" i="1" s="1"/>
  <c r="L437" i="1"/>
  <c r="R437" i="1" s="1"/>
  <c r="L438" i="1"/>
  <c r="L439" i="1"/>
  <c r="R439" i="1" s="1"/>
  <c r="L440" i="1"/>
  <c r="R440" i="1" s="1"/>
  <c r="L441" i="1"/>
  <c r="R441" i="1" s="1"/>
  <c r="L442" i="1"/>
  <c r="M442" i="1" s="1"/>
  <c r="N442" i="1" s="1"/>
  <c r="L443" i="1"/>
  <c r="R443" i="1" s="1"/>
  <c r="L444" i="1"/>
  <c r="R444" i="1" s="1"/>
  <c r="L445" i="1"/>
  <c r="R445" i="1" s="1"/>
  <c r="L446" i="1"/>
  <c r="R446" i="1" s="1"/>
  <c r="L447" i="1"/>
  <c r="R447" i="1" s="1"/>
  <c r="L448" i="1"/>
  <c r="L449" i="1"/>
  <c r="L450" i="1"/>
  <c r="Q450" i="1" s="1"/>
  <c r="L451" i="1"/>
  <c r="R451" i="1" s="1"/>
  <c r="L452" i="1"/>
  <c r="R452" i="1" s="1"/>
  <c r="L453" i="1"/>
  <c r="M453" i="1" s="1"/>
  <c r="L454" i="1"/>
  <c r="R454" i="1" s="1"/>
  <c r="L455" i="1"/>
  <c r="R455" i="1" s="1"/>
  <c r="L456" i="1"/>
  <c r="R456" i="1" s="1"/>
  <c r="L457" i="1"/>
  <c r="M457" i="1" s="1"/>
  <c r="N457" i="1" s="1"/>
  <c r="L458" i="1"/>
  <c r="R458" i="1" s="1"/>
  <c r="L459" i="1"/>
  <c r="L460" i="1"/>
  <c r="L461" i="1"/>
  <c r="L462" i="1"/>
  <c r="L463" i="1"/>
  <c r="L464" i="1"/>
  <c r="R464" i="1" s="1"/>
  <c r="L465" i="1"/>
  <c r="M465" i="1" s="1"/>
  <c r="N465" i="1" s="1"/>
  <c r="L466" i="1"/>
  <c r="M466" i="1" s="1"/>
  <c r="N466" i="1" s="1"/>
  <c r="L467" i="1"/>
  <c r="L468" i="1"/>
  <c r="L469" i="1"/>
  <c r="M469" i="1" s="1"/>
  <c r="N469" i="1" s="1"/>
  <c r="L470" i="1"/>
  <c r="M470" i="1" s="1"/>
  <c r="N470" i="1" s="1"/>
  <c r="L471" i="1"/>
  <c r="M471" i="1" s="1"/>
  <c r="N471" i="1" s="1"/>
  <c r="L472" i="1"/>
  <c r="R472" i="1" s="1"/>
  <c r="L473" i="1"/>
  <c r="L474" i="1"/>
  <c r="L475" i="1"/>
  <c r="R475" i="1" s="1"/>
  <c r="L476" i="1"/>
  <c r="R476" i="1" s="1"/>
  <c r="L477" i="1"/>
  <c r="R477" i="1" s="1"/>
  <c r="L478" i="1"/>
  <c r="M478" i="1" s="1"/>
  <c r="N478" i="1" s="1"/>
  <c r="L479" i="1"/>
  <c r="L480" i="1"/>
  <c r="L481" i="1"/>
  <c r="L482" i="1"/>
  <c r="L483" i="1"/>
  <c r="M483" i="1" s="1"/>
  <c r="N483" i="1" s="1"/>
  <c r="L484" i="1"/>
  <c r="M484" i="1" s="1"/>
  <c r="N484" i="1" s="1"/>
  <c r="L485" i="1"/>
  <c r="R485" i="1" s="1"/>
  <c r="L486" i="1"/>
  <c r="M486" i="1" s="1"/>
  <c r="L487" i="1"/>
  <c r="R487" i="1" s="1"/>
  <c r="L488" i="1"/>
  <c r="R488" i="1" s="1"/>
  <c r="L489" i="1"/>
  <c r="R489" i="1" s="1"/>
  <c r="L490" i="1"/>
  <c r="M490" i="1" s="1"/>
  <c r="N490" i="1" s="1"/>
  <c r="L491" i="1"/>
  <c r="R491" i="1" s="1"/>
  <c r="L492" i="1"/>
  <c r="R492" i="1" s="1"/>
  <c r="L493" i="1"/>
  <c r="R493" i="1" s="1"/>
  <c r="L494" i="1"/>
  <c r="L495" i="1"/>
  <c r="L496" i="1"/>
  <c r="L497" i="1"/>
  <c r="L498" i="1"/>
  <c r="L499" i="1"/>
  <c r="Q499" i="1" s="1"/>
  <c r="L500" i="1"/>
  <c r="R500" i="1" s="1"/>
  <c r="L501" i="1"/>
  <c r="R501" i="1" s="1"/>
  <c r="L502" i="1"/>
  <c r="Q502" i="1" s="1"/>
  <c r="L503" i="1"/>
  <c r="R503" i="1" s="1"/>
  <c r="L504" i="1"/>
  <c r="L505" i="1"/>
  <c r="L506" i="1"/>
  <c r="L507" i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F33" i="1"/>
  <c r="G33" i="1" s="1"/>
  <c r="F34" i="1"/>
  <c r="G34" i="1" s="1"/>
  <c r="F35" i="1"/>
  <c r="G35" i="1" s="1"/>
  <c r="F36" i="1"/>
  <c r="G36" i="1" s="1"/>
  <c r="F37" i="1"/>
  <c r="G37" i="1" s="1"/>
  <c r="F38" i="1"/>
  <c r="G38" i="1" s="1"/>
  <c r="F39" i="1"/>
  <c r="G39" i="1" s="1"/>
  <c r="F40" i="1"/>
  <c r="G40" i="1" s="1"/>
  <c r="F41" i="1"/>
  <c r="G41" i="1" s="1"/>
  <c r="F42" i="1"/>
  <c r="G42" i="1" s="1"/>
  <c r="F43" i="1"/>
  <c r="G43" i="1" s="1"/>
  <c r="F44" i="1"/>
  <c r="G44" i="1" s="1"/>
  <c r="F45" i="1"/>
  <c r="G45" i="1" s="1"/>
  <c r="F46" i="1"/>
  <c r="G46" i="1" s="1"/>
  <c r="F47" i="1"/>
  <c r="G47" i="1" s="1"/>
  <c r="F48" i="1"/>
  <c r="G48" i="1" s="1"/>
  <c r="F49" i="1"/>
  <c r="G49" i="1" s="1"/>
  <c r="F50" i="1"/>
  <c r="G50" i="1" s="1"/>
  <c r="F51" i="1"/>
  <c r="G51" i="1" s="1"/>
  <c r="F52" i="1"/>
  <c r="G52" i="1" s="1"/>
  <c r="F53" i="1"/>
  <c r="G53" i="1" s="1"/>
  <c r="F54" i="1"/>
  <c r="G54" i="1" s="1"/>
  <c r="F55" i="1"/>
  <c r="G55" i="1" s="1"/>
  <c r="F56" i="1"/>
  <c r="G56" i="1" s="1"/>
  <c r="F57" i="1"/>
  <c r="G57" i="1" s="1"/>
  <c r="F58" i="1"/>
  <c r="G58" i="1" s="1"/>
  <c r="F59" i="1"/>
  <c r="G59" i="1" s="1"/>
  <c r="F60" i="1"/>
  <c r="G60" i="1" s="1"/>
  <c r="F61" i="1"/>
  <c r="G61" i="1" s="1"/>
  <c r="F62" i="1"/>
  <c r="G62" i="1" s="1"/>
  <c r="F63" i="1"/>
  <c r="G63" i="1" s="1"/>
  <c r="F64" i="1"/>
  <c r="G64" i="1" s="1"/>
  <c r="F65" i="1"/>
  <c r="G65" i="1" s="1"/>
  <c r="F66" i="1"/>
  <c r="G66" i="1" s="1"/>
  <c r="F67" i="1"/>
  <c r="G67" i="1" s="1"/>
  <c r="F68" i="1"/>
  <c r="G68" i="1" s="1"/>
  <c r="F69" i="1"/>
  <c r="G69" i="1" s="1"/>
  <c r="F70" i="1"/>
  <c r="G70" i="1" s="1"/>
  <c r="F71" i="1"/>
  <c r="G71" i="1" s="1"/>
  <c r="F72" i="1"/>
  <c r="G72" i="1" s="1"/>
  <c r="F73" i="1"/>
  <c r="G73" i="1" s="1"/>
  <c r="F74" i="1"/>
  <c r="G74" i="1" s="1"/>
  <c r="F75" i="1"/>
  <c r="G75" i="1" s="1"/>
  <c r="F76" i="1"/>
  <c r="G76" i="1" s="1"/>
  <c r="F77" i="1"/>
  <c r="G77" i="1" s="1"/>
  <c r="F78" i="1"/>
  <c r="G78" i="1" s="1"/>
  <c r="F79" i="1"/>
  <c r="G79" i="1" s="1"/>
  <c r="F80" i="1"/>
  <c r="G80" i="1" s="1"/>
  <c r="F81" i="1"/>
  <c r="G81" i="1" s="1"/>
  <c r="F82" i="1"/>
  <c r="G82" i="1" s="1"/>
  <c r="F83" i="1"/>
  <c r="G83" i="1" s="1"/>
  <c r="F84" i="1"/>
  <c r="G84" i="1" s="1"/>
  <c r="F85" i="1"/>
  <c r="G85" i="1" s="1"/>
  <c r="F86" i="1"/>
  <c r="G86" i="1" s="1"/>
  <c r="F87" i="1"/>
  <c r="G87" i="1" s="1"/>
  <c r="F88" i="1"/>
  <c r="G88" i="1" s="1"/>
  <c r="F89" i="1"/>
  <c r="G89" i="1" s="1"/>
  <c r="F90" i="1"/>
  <c r="G90" i="1" s="1"/>
  <c r="F91" i="1"/>
  <c r="G91" i="1" s="1"/>
  <c r="F92" i="1"/>
  <c r="G92" i="1" s="1"/>
  <c r="F93" i="1"/>
  <c r="G93" i="1" s="1"/>
  <c r="F94" i="1"/>
  <c r="G94" i="1" s="1"/>
  <c r="F95" i="1"/>
  <c r="G95" i="1" s="1"/>
  <c r="F96" i="1"/>
  <c r="G96" i="1" s="1"/>
  <c r="F97" i="1"/>
  <c r="G97" i="1" s="1"/>
  <c r="F98" i="1"/>
  <c r="G98" i="1" s="1"/>
  <c r="F99" i="1"/>
  <c r="G99" i="1" s="1"/>
  <c r="F100" i="1"/>
  <c r="G100" i="1" s="1"/>
  <c r="F101" i="1"/>
  <c r="G101" i="1" s="1"/>
  <c r="F102" i="1"/>
  <c r="G102" i="1" s="1"/>
  <c r="F103" i="1"/>
  <c r="G103" i="1" s="1"/>
  <c r="F104" i="1"/>
  <c r="G104" i="1" s="1"/>
  <c r="F105" i="1"/>
  <c r="G105" i="1" s="1"/>
  <c r="F106" i="1"/>
  <c r="G106" i="1" s="1"/>
  <c r="F107" i="1"/>
  <c r="G107" i="1" s="1"/>
  <c r="F108" i="1"/>
  <c r="G108" i="1" s="1"/>
  <c r="F109" i="1"/>
  <c r="G109" i="1" s="1"/>
  <c r="F110" i="1"/>
  <c r="G110" i="1" s="1"/>
  <c r="F111" i="1"/>
  <c r="G111" i="1" s="1"/>
  <c r="F112" i="1"/>
  <c r="G112" i="1" s="1"/>
  <c r="F113" i="1"/>
  <c r="G113" i="1" s="1"/>
  <c r="F114" i="1"/>
  <c r="G114" i="1" s="1"/>
  <c r="F115" i="1"/>
  <c r="G115" i="1" s="1"/>
  <c r="F116" i="1"/>
  <c r="G116" i="1" s="1"/>
  <c r="F117" i="1"/>
  <c r="G117" i="1" s="1"/>
  <c r="F118" i="1"/>
  <c r="G118" i="1" s="1"/>
  <c r="F119" i="1"/>
  <c r="G119" i="1" s="1"/>
  <c r="F120" i="1"/>
  <c r="G120" i="1" s="1"/>
  <c r="F121" i="1"/>
  <c r="G121" i="1" s="1"/>
  <c r="F122" i="1"/>
  <c r="G122" i="1" s="1"/>
  <c r="F123" i="1"/>
  <c r="G123" i="1" s="1"/>
  <c r="F124" i="1"/>
  <c r="G124" i="1" s="1"/>
  <c r="F125" i="1"/>
  <c r="G125" i="1" s="1"/>
  <c r="F126" i="1"/>
  <c r="G126" i="1" s="1"/>
  <c r="F127" i="1"/>
  <c r="G127" i="1" s="1"/>
  <c r="F128" i="1"/>
  <c r="G128" i="1" s="1"/>
  <c r="F129" i="1"/>
  <c r="G129" i="1" s="1"/>
  <c r="F130" i="1"/>
  <c r="G130" i="1" s="1"/>
  <c r="F131" i="1"/>
  <c r="G131" i="1" s="1"/>
  <c r="F132" i="1"/>
  <c r="G132" i="1" s="1"/>
  <c r="F133" i="1"/>
  <c r="G133" i="1" s="1"/>
  <c r="F134" i="1"/>
  <c r="G134" i="1" s="1"/>
  <c r="F135" i="1"/>
  <c r="G135" i="1" s="1"/>
  <c r="F136" i="1"/>
  <c r="G136" i="1" s="1"/>
  <c r="F137" i="1"/>
  <c r="G137" i="1" s="1"/>
  <c r="F138" i="1"/>
  <c r="G138" i="1" s="1"/>
  <c r="F139" i="1"/>
  <c r="G139" i="1" s="1"/>
  <c r="F140" i="1"/>
  <c r="G140" i="1" s="1"/>
  <c r="F141" i="1"/>
  <c r="G141" i="1" s="1"/>
  <c r="F142" i="1"/>
  <c r="G142" i="1" s="1"/>
  <c r="F143" i="1"/>
  <c r="G143" i="1" s="1"/>
  <c r="F144" i="1"/>
  <c r="G144" i="1" s="1"/>
  <c r="F145" i="1"/>
  <c r="G145" i="1" s="1"/>
  <c r="F146" i="1"/>
  <c r="G146" i="1" s="1"/>
  <c r="F147" i="1"/>
  <c r="G147" i="1" s="1"/>
  <c r="F148" i="1"/>
  <c r="G148" i="1" s="1"/>
  <c r="F149" i="1"/>
  <c r="G149" i="1" s="1"/>
  <c r="F150" i="1"/>
  <c r="G150" i="1" s="1"/>
  <c r="F151" i="1"/>
  <c r="G151" i="1" s="1"/>
  <c r="F152" i="1"/>
  <c r="G152" i="1" s="1"/>
  <c r="F153" i="1"/>
  <c r="G153" i="1" s="1"/>
  <c r="F154" i="1"/>
  <c r="G154" i="1" s="1"/>
  <c r="F155" i="1"/>
  <c r="G155" i="1" s="1"/>
  <c r="F156" i="1"/>
  <c r="G156" i="1" s="1"/>
  <c r="F157" i="1"/>
  <c r="G157" i="1" s="1"/>
  <c r="F158" i="1"/>
  <c r="G158" i="1" s="1"/>
  <c r="F159" i="1"/>
  <c r="G159" i="1" s="1"/>
  <c r="F160" i="1"/>
  <c r="G160" i="1" s="1"/>
  <c r="F161" i="1"/>
  <c r="G161" i="1" s="1"/>
  <c r="F162" i="1"/>
  <c r="G162" i="1" s="1"/>
  <c r="F163" i="1"/>
  <c r="G163" i="1" s="1"/>
  <c r="F164" i="1"/>
  <c r="G164" i="1" s="1"/>
  <c r="F165" i="1"/>
  <c r="G165" i="1" s="1"/>
  <c r="F166" i="1"/>
  <c r="G166" i="1" s="1"/>
  <c r="F167" i="1"/>
  <c r="G167" i="1" s="1"/>
  <c r="F168" i="1"/>
  <c r="G168" i="1" s="1"/>
  <c r="F169" i="1"/>
  <c r="G169" i="1" s="1"/>
  <c r="F170" i="1"/>
  <c r="G170" i="1" s="1"/>
  <c r="F171" i="1"/>
  <c r="G171" i="1" s="1"/>
  <c r="F172" i="1"/>
  <c r="G172" i="1" s="1"/>
  <c r="F173" i="1"/>
  <c r="G173" i="1" s="1"/>
  <c r="F174" i="1"/>
  <c r="G174" i="1" s="1"/>
  <c r="F175" i="1"/>
  <c r="G175" i="1" s="1"/>
  <c r="F176" i="1"/>
  <c r="G176" i="1" s="1"/>
  <c r="F177" i="1"/>
  <c r="G177" i="1" s="1"/>
  <c r="F178" i="1"/>
  <c r="G178" i="1" s="1"/>
  <c r="F179" i="1"/>
  <c r="G179" i="1" s="1"/>
  <c r="F180" i="1"/>
  <c r="G180" i="1" s="1"/>
  <c r="F181" i="1"/>
  <c r="G181" i="1" s="1"/>
  <c r="F182" i="1"/>
  <c r="G182" i="1" s="1"/>
  <c r="F183" i="1"/>
  <c r="G183" i="1" s="1"/>
  <c r="F184" i="1"/>
  <c r="G184" i="1" s="1"/>
  <c r="F185" i="1"/>
  <c r="G185" i="1" s="1"/>
  <c r="F186" i="1"/>
  <c r="G186" i="1" s="1"/>
  <c r="F187" i="1"/>
  <c r="G187" i="1" s="1"/>
  <c r="F188" i="1"/>
  <c r="G188" i="1" s="1"/>
  <c r="F189" i="1"/>
  <c r="G189" i="1" s="1"/>
  <c r="F190" i="1"/>
  <c r="G190" i="1" s="1"/>
  <c r="F191" i="1"/>
  <c r="G191" i="1" s="1"/>
  <c r="F192" i="1"/>
  <c r="G192" i="1" s="1"/>
  <c r="F193" i="1"/>
  <c r="G193" i="1" s="1"/>
  <c r="F194" i="1"/>
  <c r="G194" i="1" s="1"/>
  <c r="F195" i="1"/>
  <c r="G195" i="1" s="1"/>
  <c r="F196" i="1"/>
  <c r="G196" i="1" s="1"/>
  <c r="F197" i="1"/>
  <c r="G197" i="1" s="1"/>
  <c r="F198" i="1"/>
  <c r="G198" i="1" s="1"/>
  <c r="F199" i="1"/>
  <c r="G199" i="1" s="1"/>
  <c r="F200" i="1"/>
  <c r="G200" i="1" s="1"/>
  <c r="F201" i="1"/>
  <c r="G201" i="1" s="1"/>
  <c r="F202" i="1"/>
  <c r="G202" i="1" s="1"/>
  <c r="F203" i="1"/>
  <c r="G203" i="1" s="1"/>
  <c r="F204" i="1"/>
  <c r="G204" i="1" s="1"/>
  <c r="F205" i="1"/>
  <c r="G205" i="1" s="1"/>
  <c r="F206" i="1"/>
  <c r="G206" i="1" s="1"/>
  <c r="F207" i="1"/>
  <c r="G207" i="1" s="1"/>
  <c r="F208" i="1"/>
  <c r="G208" i="1" s="1"/>
  <c r="F209" i="1"/>
  <c r="G209" i="1" s="1"/>
  <c r="F210" i="1"/>
  <c r="G210" i="1" s="1"/>
  <c r="F211" i="1"/>
  <c r="G211" i="1" s="1"/>
  <c r="F212" i="1"/>
  <c r="G212" i="1" s="1"/>
  <c r="F213" i="1"/>
  <c r="G213" i="1" s="1"/>
  <c r="F214" i="1"/>
  <c r="G214" i="1" s="1"/>
  <c r="F215" i="1"/>
  <c r="G215" i="1" s="1"/>
  <c r="F216" i="1"/>
  <c r="G216" i="1" s="1"/>
  <c r="F217" i="1"/>
  <c r="G217" i="1" s="1"/>
  <c r="F218" i="1"/>
  <c r="G218" i="1" s="1"/>
  <c r="F219" i="1"/>
  <c r="G219" i="1" s="1"/>
  <c r="F220" i="1"/>
  <c r="G220" i="1" s="1"/>
  <c r="F221" i="1"/>
  <c r="G221" i="1" s="1"/>
  <c r="F222" i="1"/>
  <c r="G222" i="1" s="1"/>
  <c r="F223" i="1"/>
  <c r="G223" i="1" s="1"/>
  <c r="F224" i="1"/>
  <c r="G224" i="1" s="1"/>
  <c r="F225" i="1"/>
  <c r="G225" i="1" s="1"/>
  <c r="F226" i="1"/>
  <c r="G226" i="1" s="1"/>
  <c r="F227" i="1"/>
  <c r="G227" i="1" s="1"/>
  <c r="F228" i="1"/>
  <c r="G228" i="1" s="1"/>
  <c r="F229" i="1"/>
  <c r="G229" i="1" s="1"/>
  <c r="F230" i="1"/>
  <c r="G230" i="1" s="1"/>
  <c r="F231" i="1"/>
  <c r="G231" i="1" s="1"/>
  <c r="F232" i="1"/>
  <c r="G232" i="1" s="1"/>
  <c r="F233" i="1"/>
  <c r="G233" i="1" s="1"/>
  <c r="F234" i="1"/>
  <c r="G234" i="1" s="1"/>
  <c r="F235" i="1"/>
  <c r="G235" i="1" s="1"/>
  <c r="F236" i="1"/>
  <c r="G236" i="1" s="1"/>
  <c r="F237" i="1"/>
  <c r="G237" i="1" s="1"/>
  <c r="F238" i="1"/>
  <c r="G238" i="1" s="1"/>
  <c r="F239" i="1"/>
  <c r="G239" i="1" s="1"/>
  <c r="F240" i="1"/>
  <c r="G240" i="1" s="1"/>
  <c r="F241" i="1"/>
  <c r="G241" i="1" s="1"/>
  <c r="F242" i="1"/>
  <c r="G242" i="1" s="1"/>
  <c r="F243" i="1"/>
  <c r="G243" i="1" s="1"/>
  <c r="F244" i="1"/>
  <c r="G244" i="1" s="1"/>
  <c r="F245" i="1"/>
  <c r="G245" i="1" s="1"/>
  <c r="F246" i="1"/>
  <c r="G246" i="1" s="1"/>
  <c r="F247" i="1"/>
  <c r="G247" i="1" s="1"/>
  <c r="F248" i="1"/>
  <c r="G248" i="1" s="1"/>
  <c r="F249" i="1"/>
  <c r="G249" i="1" s="1"/>
  <c r="F250" i="1"/>
  <c r="G250" i="1" s="1"/>
  <c r="F251" i="1"/>
  <c r="G251" i="1" s="1"/>
  <c r="F252" i="1"/>
  <c r="G252" i="1" s="1"/>
  <c r="F253" i="1"/>
  <c r="G253" i="1" s="1"/>
  <c r="F254" i="1"/>
  <c r="G254" i="1" s="1"/>
  <c r="F255" i="1"/>
  <c r="G255" i="1" s="1"/>
  <c r="F256" i="1"/>
  <c r="G256" i="1" s="1"/>
  <c r="F257" i="1"/>
  <c r="G257" i="1" s="1"/>
  <c r="F258" i="1"/>
  <c r="G258" i="1" s="1"/>
  <c r="F259" i="1"/>
  <c r="G259" i="1" s="1"/>
  <c r="F260" i="1"/>
  <c r="G260" i="1" s="1"/>
  <c r="F261" i="1"/>
  <c r="G261" i="1" s="1"/>
  <c r="F262" i="1"/>
  <c r="G262" i="1" s="1"/>
  <c r="F263" i="1"/>
  <c r="G263" i="1" s="1"/>
  <c r="F264" i="1"/>
  <c r="G264" i="1" s="1"/>
  <c r="F265" i="1"/>
  <c r="G265" i="1" s="1"/>
  <c r="F266" i="1"/>
  <c r="G266" i="1" s="1"/>
  <c r="F267" i="1"/>
  <c r="G267" i="1" s="1"/>
  <c r="F268" i="1"/>
  <c r="G268" i="1" s="1"/>
  <c r="F269" i="1"/>
  <c r="G269" i="1" s="1"/>
  <c r="F270" i="1"/>
  <c r="G270" i="1" s="1"/>
  <c r="F271" i="1"/>
  <c r="G271" i="1" s="1"/>
  <c r="F272" i="1"/>
  <c r="G272" i="1" s="1"/>
  <c r="F273" i="1"/>
  <c r="G273" i="1" s="1"/>
  <c r="F274" i="1"/>
  <c r="G274" i="1" s="1"/>
  <c r="F275" i="1"/>
  <c r="G275" i="1" s="1"/>
  <c r="F276" i="1"/>
  <c r="G276" i="1" s="1"/>
  <c r="F277" i="1"/>
  <c r="G277" i="1" s="1"/>
  <c r="F278" i="1"/>
  <c r="G278" i="1" s="1"/>
  <c r="F279" i="1"/>
  <c r="G279" i="1" s="1"/>
  <c r="F280" i="1"/>
  <c r="G280" i="1" s="1"/>
  <c r="F281" i="1"/>
  <c r="G281" i="1" s="1"/>
  <c r="F282" i="1"/>
  <c r="G282" i="1" s="1"/>
  <c r="F283" i="1"/>
  <c r="G283" i="1" s="1"/>
  <c r="F284" i="1"/>
  <c r="G284" i="1" s="1"/>
  <c r="F285" i="1"/>
  <c r="G285" i="1" s="1"/>
  <c r="F286" i="1"/>
  <c r="G286" i="1" s="1"/>
  <c r="F287" i="1"/>
  <c r="G287" i="1" s="1"/>
  <c r="F288" i="1"/>
  <c r="G288" i="1" s="1"/>
  <c r="F289" i="1"/>
  <c r="G289" i="1" s="1"/>
  <c r="F290" i="1"/>
  <c r="G290" i="1" s="1"/>
  <c r="F291" i="1"/>
  <c r="G291" i="1" s="1"/>
  <c r="F292" i="1"/>
  <c r="G292" i="1" s="1"/>
  <c r="F293" i="1"/>
  <c r="G293" i="1" s="1"/>
  <c r="F294" i="1"/>
  <c r="G294" i="1" s="1"/>
  <c r="F295" i="1"/>
  <c r="G295" i="1" s="1"/>
  <c r="F296" i="1"/>
  <c r="G296" i="1" s="1"/>
  <c r="F297" i="1"/>
  <c r="G297" i="1" s="1"/>
  <c r="F298" i="1"/>
  <c r="G298" i="1" s="1"/>
  <c r="F299" i="1"/>
  <c r="G299" i="1" s="1"/>
  <c r="F300" i="1"/>
  <c r="G300" i="1" s="1"/>
  <c r="F301" i="1"/>
  <c r="G301" i="1" s="1"/>
  <c r="F302" i="1"/>
  <c r="G302" i="1" s="1"/>
  <c r="F303" i="1"/>
  <c r="G303" i="1" s="1"/>
  <c r="F304" i="1"/>
  <c r="G304" i="1" s="1"/>
  <c r="F305" i="1"/>
  <c r="G305" i="1" s="1"/>
  <c r="F306" i="1"/>
  <c r="G306" i="1" s="1"/>
  <c r="F307" i="1"/>
  <c r="G307" i="1" s="1"/>
  <c r="F308" i="1"/>
  <c r="G308" i="1" s="1"/>
  <c r="F309" i="1"/>
  <c r="G309" i="1" s="1"/>
  <c r="F310" i="1"/>
  <c r="G310" i="1" s="1"/>
  <c r="F311" i="1"/>
  <c r="G311" i="1" s="1"/>
  <c r="F312" i="1"/>
  <c r="G312" i="1" s="1"/>
  <c r="F313" i="1"/>
  <c r="G313" i="1" s="1"/>
  <c r="F314" i="1"/>
  <c r="G314" i="1" s="1"/>
  <c r="F315" i="1"/>
  <c r="G315" i="1" s="1"/>
  <c r="F316" i="1"/>
  <c r="G316" i="1" s="1"/>
  <c r="F317" i="1"/>
  <c r="G317" i="1" s="1"/>
  <c r="F318" i="1"/>
  <c r="G318" i="1" s="1"/>
  <c r="F319" i="1"/>
  <c r="G319" i="1" s="1"/>
  <c r="F320" i="1"/>
  <c r="G320" i="1" s="1"/>
  <c r="F321" i="1"/>
  <c r="G321" i="1" s="1"/>
  <c r="F322" i="1"/>
  <c r="G322" i="1" s="1"/>
  <c r="F323" i="1"/>
  <c r="G323" i="1" s="1"/>
  <c r="F324" i="1"/>
  <c r="G324" i="1" s="1"/>
  <c r="F325" i="1"/>
  <c r="G325" i="1" s="1"/>
  <c r="F326" i="1"/>
  <c r="G326" i="1" s="1"/>
  <c r="F327" i="1"/>
  <c r="G327" i="1" s="1"/>
  <c r="F328" i="1"/>
  <c r="G328" i="1" s="1"/>
  <c r="F329" i="1"/>
  <c r="G329" i="1" s="1"/>
  <c r="F330" i="1"/>
  <c r="G330" i="1" s="1"/>
  <c r="F331" i="1"/>
  <c r="G331" i="1" s="1"/>
  <c r="F332" i="1"/>
  <c r="G332" i="1" s="1"/>
  <c r="F333" i="1"/>
  <c r="G333" i="1" s="1"/>
  <c r="F334" i="1"/>
  <c r="G334" i="1" s="1"/>
  <c r="F335" i="1"/>
  <c r="G335" i="1" s="1"/>
  <c r="F336" i="1"/>
  <c r="G336" i="1" s="1"/>
  <c r="F337" i="1"/>
  <c r="G337" i="1" s="1"/>
  <c r="F338" i="1"/>
  <c r="G338" i="1" s="1"/>
  <c r="F339" i="1"/>
  <c r="G339" i="1" s="1"/>
  <c r="F340" i="1"/>
  <c r="G340" i="1" s="1"/>
  <c r="F341" i="1"/>
  <c r="G341" i="1" s="1"/>
  <c r="F342" i="1"/>
  <c r="G342" i="1" s="1"/>
  <c r="F343" i="1"/>
  <c r="G343" i="1" s="1"/>
  <c r="F344" i="1"/>
  <c r="G344" i="1" s="1"/>
  <c r="F345" i="1"/>
  <c r="G345" i="1" s="1"/>
  <c r="F346" i="1"/>
  <c r="G346" i="1" s="1"/>
  <c r="F347" i="1"/>
  <c r="G347" i="1" s="1"/>
  <c r="F348" i="1"/>
  <c r="G348" i="1" s="1"/>
  <c r="F349" i="1"/>
  <c r="G349" i="1" s="1"/>
  <c r="F350" i="1"/>
  <c r="G350" i="1" s="1"/>
  <c r="F351" i="1"/>
  <c r="G351" i="1" s="1"/>
  <c r="F352" i="1"/>
  <c r="G352" i="1" s="1"/>
  <c r="F353" i="1"/>
  <c r="G353" i="1" s="1"/>
  <c r="F354" i="1"/>
  <c r="G354" i="1" s="1"/>
  <c r="F355" i="1"/>
  <c r="G355" i="1" s="1"/>
  <c r="F356" i="1"/>
  <c r="G356" i="1" s="1"/>
  <c r="F357" i="1"/>
  <c r="G357" i="1" s="1"/>
  <c r="F358" i="1"/>
  <c r="G358" i="1" s="1"/>
  <c r="F359" i="1"/>
  <c r="G359" i="1" s="1"/>
  <c r="F360" i="1"/>
  <c r="G360" i="1" s="1"/>
  <c r="F361" i="1"/>
  <c r="G361" i="1" s="1"/>
  <c r="F362" i="1"/>
  <c r="G362" i="1" s="1"/>
  <c r="F363" i="1"/>
  <c r="G363" i="1" s="1"/>
  <c r="F364" i="1"/>
  <c r="G364" i="1" s="1"/>
  <c r="F365" i="1"/>
  <c r="G365" i="1" s="1"/>
  <c r="F366" i="1"/>
  <c r="G366" i="1" s="1"/>
  <c r="F367" i="1"/>
  <c r="G367" i="1" s="1"/>
  <c r="F368" i="1"/>
  <c r="G368" i="1" s="1"/>
  <c r="F369" i="1"/>
  <c r="G369" i="1" s="1"/>
  <c r="F370" i="1"/>
  <c r="G370" i="1" s="1"/>
  <c r="F371" i="1"/>
  <c r="G371" i="1" s="1"/>
  <c r="F372" i="1"/>
  <c r="G372" i="1" s="1"/>
  <c r="F373" i="1"/>
  <c r="G373" i="1" s="1"/>
  <c r="F374" i="1"/>
  <c r="G374" i="1" s="1"/>
  <c r="F375" i="1"/>
  <c r="G375" i="1" s="1"/>
  <c r="F376" i="1"/>
  <c r="G376" i="1" s="1"/>
  <c r="F377" i="1"/>
  <c r="G377" i="1" s="1"/>
  <c r="F378" i="1"/>
  <c r="G378" i="1" s="1"/>
  <c r="F379" i="1"/>
  <c r="G379" i="1" s="1"/>
  <c r="F380" i="1"/>
  <c r="G380" i="1" s="1"/>
  <c r="F381" i="1"/>
  <c r="G381" i="1" s="1"/>
  <c r="F382" i="1"/>
  <c r="G382" i="1" s="1"/>
  <c r="F383" i="1"/>
  <c r="G383" i="1" s="1"/>
  <c r="F384" i="1"/>
  <c r="G384" i="1" s="1"/>
  <c r="F385" i="1"/>
  <c r="G385" i="1" s="1"/>
  <c r="F386" i="1"/>
  <c r="G386" i="1" s="1"/>
  <c r="F387" i="1"/>
  <c r="G387" i="1" s="1"/>
  <c r="F388" i="1"/>
  <c r="G388" i="1" s="1"/>
  <c r="F389" i="1"/>
  <c r="G389" i="1" s="1"/>
  <c r="F390" i="1"/>
  <c r="G390" i="1" s="1"/>
  <c r="F391" i="1"/>
  <c r="G391" i="1" s="1"/>
  <c r="F392" i="1"/>
  <c r="G392" i="1" s="1"/>
  <c r="F393" i="1"/>
  <c r="G393" i="1" s="1"/>
  <c r="F394" i="1"/>
  <c r="G394" i="1" s="1"/>
  <c r="F395" i="1"/>
  <c r="G395" i="1" s="1"/>
  <c r="F396" i="1"/>
  <c r="G396" i="1" s="1"/>
  <c r="F397" i="1"/>
  <c r="G397" i="1" s="1"/>
  <c r="F398" i="1"/>
  <c r="G398" i="1" s="1"/>
  <c r="F399" i="1"/>
  <c r="G399" i="1" s="1"/>
  <c r="F400" i="1"/>
  <c r="G400" i="1" s="1"/>
  <c r="F401" i="1"/>
  <c r="G401" i="1" s="1"/>
  <c r="F402" i="1"/>
  <c r="G402" i="1" s="1"/>
  <c r="F403" i="1"/>
  <c r="G403" i="1" s="1"/>
  <c r="F404" i="1"/>
  <c r="G404" i="1" s="1"/>
  <c r="F405" i="1"/>
  <c r="G405" i="1" s="1"/>
  <c r="F406" i="1"/>
  <c r="G406" i="1" s="1"/>
  <c r="F407" i="1"/>
  <c r="G407" i="1" s="1"/>
  <c r="F408" i="1"/>
  <c r="G408" i="1" s="1"/>
  <c r="F409" i="1"/>
  <c r="G409" i="1" s="1"/>
  <c r="F410" i="1"/>
  <c r="G410" i="1" s="1"/>
  <c r="F411" i="1"/>
  <c r="G411" i="1" s="1"/>
  <c r="F412" i="1"/>
  <c r="G412" i="1" s="1"/>
  <c r="F413" i="1"/>
  <c r="G413" i="1" s="1"/>
  <c r="F414" i="1"/>
  <c r="G414" i="1" s="1"/>
  <c r="F415" i="1"/>
  <c r="G415" i="1" s="1"/>
  <c r="F416" i="1"/>
  <c r="G416" i="1" s="1"/>
  <c r="F417" i="1"/>
  <c r="G417" i="1" s="1"/>
  <c r="F418" i="1"/>
  <c r="G418" i="1" s="1"/>
  <c r="F419" i="1"/>
  <c r="G419" i="1" s="1"/>
  <c r="F420" i="1"/>
  <c r="G420" i="1" s="1"/>
  <c r="F421" i="1"/>
  <c r="G421" i="1" s="1"/>
  <c r="F422" i="1"/>
  <c r="G422" i="1" s="1"/>
  <c r="F423" i="1"/>
  <c r="G423" i="1" s="1"/>
  <c r="F424" i="1"/>
  <c r="G424" i="1" s="1"/>
  <c r="F425" i="1"/>
  <c r="G425" i="1" s="1"/>
  <c r="F426" i="1"/>
  <c r="G426" i="1" s="1"/>
  <c r="F427" i="1"/>
  <c r="G427" i="1" s="1"/>
  <c r="F428" i="1"/>
  <c r="G428" i="1" s="1"/>
  <c r="F429" i="1"/>
  <c r="G429" i="1" s="1"/>
  <c r="F430" i="1"/>
  <c r="G430" i="1" s="1"/>
  <c r="F431" i="1"/>
  <c r="G431" i="1" s="1"/>
  <c r="F432" i="1"/>
  <c r="G432" i="1" s="1"/>
  <c r="F433" i="1"/>
  <c r="G433" i="1" s="1"/>
  <c r="F434" i="1"/>
  <c r="G434" i="1" s="1"/>
  <c r="F435" i="1"/>
  <c r="G435" i="1" s="1"/>
  <c r="F436" i="1"/>
  <c r="G436" i="1" s="1"/>
  <c r="F437" i="1"/>
  <c r="G437" i="1" s="1"/>
  <c r="F438" i="1"/>
  <c r="G438" i="1" s="1"/>
  <c r="F439" i="1"/>
  <c r="G439" i="1" s="1"/>
  <c r="F440" i="1"/>
  <c r="G440" i="1" s="1"/>
  <c r="F441" i="1"/>
  <c r="G441" i="1" s="1"/>
  <c r="F442" i="1"/>
  <c r="G442" i="1" s="1"/>
  <c r="F443" i="1"/>
  <c r="G443" i="1" s="1"/>
  <c r="F444" i="1"/>
  <c r="G444" i="1" s="1"/>
  <c r="F445" i="1"/>
  <c r="G445" i="1" s="1"/>
  <c r="F446" i="1"/>
  <c r="G446" i="1" s="1"/>
  <c r="F447" i="1"/>
  <c r="G447" i="1" s="1"/>
  <c r="F448" i="1"/>
  <c r="G448" i="1" s="1"/>
  <c r="F449" i="1"/>
  <c r="G449" i="1" s="1"/>
  <c r="F450" i="1"/>
  <c r="G450" i="1" s="1"/>
  <c r="F451" i="1"/>
  <c r="G451" i="1" s="1"/>
  <c r="F452" i="1"/>
  <c r="G452" i="1" s="1"/>
  <c r="F453" i="1"/>
  <c r="G453" i="1" s="1"/>
  <c r="F454" i="1"/>
  <c r="G454" i="1" s="1"/>
  <c r="F455" i="1"/>
  <c r="G455" i="1" s="1"/>
  <c r="F456" i="1"/>
  <c r="G456" i="1" s="1"/>
  <c r="F457" i="1"/>
  <c r="G457" i="1" s="1"/>
  <c r="F458" i="1"/>
  <c r="G458" i="1" s="1"/>
  <c r="F459" i="1"/>
  <c r="G459" i="1" s="1"/>
  <c r="F460" i="1"/>
  <c r="G460" i="1" s="1"/>
  <c r="F461" i="1"/>
  <c r="G461" i="1" s="1"/>
  <c r="F462" i="1"/>
  <c r="G462" i="1" s="1"/>
  <c r="F463" i="1"/>
  <c r="G463" i="1" s="1"/>
  <c r="F464" i="1"/>
  <c r="G464" i="1" s="1"/>
  <c r="F465" i="1"/>
  <c r="G465" i="1" s="1"/>
  <c r="F466" i="1"/>
  <c r="G466" i="1" s="1"/>
  <c r="F467" i="1"/>
  <c r="G467" i="1" s="1"/>
  <c r="F468" i="1"/>
  <c r="G468" i="1" s="1"/>
  <c r="F469" i="1"/>
  <c r="G469" i="1" s="1"/>
  <c r="F470" i="1"/>
  <c r="G470" i="1" s="1"/>
  <c r="F471" i="1"/>
  <c r="G471" i="1" s="1"/>
  <c r="F472" i="1"/>
  <c r="G472" i="1" s="1"/>
  <c r="F473" i="1"/>
  <c r="G473" i="1" s="1"/>
  <c r="F474" i="1"/>
  <c r="G474" i="1" s="1"/>
  <c r="F475" i="1"/>
  <c r="G475" i="1" s="1"/>
  <c r="F476" i="1"/>
  <c r="G476" i="1" s="1"/>
  <c r="F477" i="1"/>
  <c r="G477" i="1" s="1"/>
  <c r="F478" i="1"/>
  <c r="G478" i="1" s="1"/>
  <c r="F479" i="1"/>
  <c r="G479" i="1" s="1"/>
  <c r="F480" i="1"/>
  <c r="G480" i="1" s="1"/>
  <c r="F481" i="1"/>
  <c r="G481" i="1" s="1"/>
  <c r="F482" i="1"/>
  <c r="G482" i="1" s="1"/>
  <c r="F483" i="1"/>
  <c r="G483" i="1" s="1"/>
  <c r="F484" i="1"/>
  <c r="G484" i="1" s="1"/>
  <c r="F485" i="1"/>
  <c r="G485" i="1" s="1"/>
  <c r="F486" i="1"/>
  <c r="G486" i="1" s="1"/>
  <c r="F487" i="1"/>
  <c r="G487" i="1" s="1"/>
  <c r="F488" i="1"/>
  <c r="G488" i="1" s="1"/>
  <c r="F489" i="1"/>
  <c r="G489" i="1" s="1"/>
  <c r="F490" i="1"/>
  <c r="G490" i="1" s="1"/>
  <c r="F491" i="1"/>
  <c r="G491" i="1" s="1"/>
  <c r="F492" i="1"/>
  <c r="G492" i="1" s="1"/>
  <c r="F493" i="1"/>
  <c r="G493" i="1" s="1"/>
  <c r="F494" i="1"/>
  <c r="G494" i="1" s="1"/>
  <c r="F495" i="1"/>
  <c r="G495" i="1" s="1"/>
  <c r="F496" i="1"/>
  <c r="G496" i="1" s="1"/>
  <c r="F497" i="1"/>
  <c r="G497" i="1" s="1"/>
  <c r="F498" i="1"/>
  <c r="G498" i="1" s="1"/>
  <c r="F499" i="1"/>
  <c r="G499" i="1" s="1"/>
  <c r="F500" i="1"/>
  <c r="G500" i="1" s="1"/>
  <c r="F501" i="1"/>
  <c r="G501" i="1" s="1"/>
  <c r="F502" i="1"/>
  <c r="G502" i="1" s="1"/>
  <c r="F503" i="1"/>
  <c r="G503" i="1" s="1"/>
  <c r="F504" i="1"/>
  <c r="G504" i="1" s="1"/>
  <c r="F505" i="1"/>
  <c r="G505" i="1" s="1"/>
  <c r="F506" i="1"/>
  <c r="G506" i="1" s="1"/>
  <c r="F507" i="1"/>
  <c r="G507" i="1" s="1"/>
  <c r="C8" i="1"/>
  <c r="E8" i="1" s="1"/>
  <c r="C9" i="1"/>
  <c r="E9" i="1" s="1"/>
  <c r="C10" i="1"/>
  <c r="E10" i="1" s="1"/>
  <c r="C11" i="1"/>
  <c r="E11" i="1" s="1"/>
  <c r="C12" i="1"/>
  <c r="E12" i="1" s="1"/>
  <c r="C13" i="1"/>
  <c r="E13" i="1" s="1"/>
  <c r="C14" i="1"/>
  <c r="E14" i="1" s="1"/>
  <c r="C15" i="1"/>
  <c r="E15" i="1" s="1"/>
  <c r="C16" i="1"/>
  <c r="E16" i="1" s="1"/>
  <c r="C17" i="1"/>
  <c r="E17" i="1" s="1"/>
  <c r="C18" i="1"/>
  <c r="E18" i="1" s="1"/>
  <c r="C19" i="1"/>
  <c r="E19" i="1" s="1"/>
  <c r="C20" i="1"/>
  <c r="E20" i="1" s="1"/>
  <c r="C21" i="1"/>
  <c r="E21" i="1" s="1"/>
  <c r="C22" i="1"/>
  <c r="E22" i="1" s="1"/>
  <c r="C23" i="1"/>
  <c r="E23" i="1" s="1"/>
  <c r="C24" i="1"/>
  <c r="E24" i="1" s="1"/>
  <c r="C25" i="1"/>
  <c r="E25" i="1" s="1"/>
  <c r="C26" i="1"/>
  <c r="E26" i="1" s="1"/>
  <c r="C27" i="1"/>
  <c r="E27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E41" i="1" s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E54" i="1" s="1"/>
  <c r="C55" i="1"/>
  <c r="E55" i="1" s="1"/>
  <c r="C56" i="1"/>
  <c r="E56" i="1" s="1"/>
  <c r="C57" i="1"/>
  <c r="E57" i="1" s="1"/>
  <c r="C58" i="1"/>
  <c r="E58" i="1" s="1"/>
  <c r="C59" i="1"/>
  <c r="E59" i="1" s="1"/>
  <c r="C60" i="1"/>
  <c r="E60" i="1" s="1"/>
  <c r="C61" i="1"/>
  <c r="E61" i="1" s="1"/>
  <c r="C62" i="1"/>
  <c r="E62" i="1" s="1"/>
  <c r="C63" i="1"/>
  <c r="E63" i="1" s="1"/>
  <c r="C64" i="1"/>
  <c r="E64" i="1" s="1"/>
  <c r="C65" i="1"/>
  <c r="E65" i="1" s="1"/>
  <c r="C66" i="1"/>
  <c r="E66" i="1" s="1"/>
  <c r="C67" i="1"/>
  <c r="E67" i="1" s="1"/>
  <c r="C68" i="1"/>
  <c r="E68" i="1" s="1"/>
  <c r="C69" i="1"/>
  <c r="E69" i="1" s="1"/>
  <c r="C70" i="1"/>
  <c r="E70" i="1" s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E78" i="1" s="1"/>
  <c r="C79" i="1"/>
  <c r="E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7" i="1"/>
  <c r="E87" i="1" s="1"/>
  <c r="C88" i="1"/>
  <c r="E88" i="1" s="1"/>
  <c r="C89" i="1"/>
  <c r="E89" i="1" s="1"/>
  <c r="C90" i="1"/>
  <c r="E90" i="1" s="1"/>
  <c r="C91" i="1"/>
  <c r="E91" i="1" s="1"/>
  <c r="C92" i="1"/>
  <c r="E92" i="1" s="1"/>
  <c r="C93" i="1"/>
  <c r="E93" i="1" s="1"/>
  <c r="C94" i="1"/>
  <c r="E94" i="1" s="1"/>
  <c r="C95" i="1"/>
  <c r="E95" i="1" s="1"/>
  <c r="C96" i="1"/>
  <c r="E96" i="1" s="1"/>
  <c r="C97" i="1"/>
  <c r="E97" i="1" s="1"/>
  <c r="C98" i="1"/>
  <c r="E98" i="1" s="1"/>
  <c r="C99" i="1"/>
  <c r="E99" i="1" s="1"/>
  <c r="C100" i="1"/>
  <c r="E100" i="1" s="1"/>
  <c r="C101" i="1"/>
  <c r="E101" i="1" s="1"/>
  <c r="C102" i="1"/>
  <c r="E102" i="1" s="1"/>
  <c r="C103" i="1"/>
  <c r="E103" i="1" s="1"/>
  <c r="C104" i="1"/>
  <c r="E104" i="1" s="1"/>
  <c r="C105" i="1"/>
  <c r="E105" i="1" s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E116" i="1" s="1"/>
  <c r="C117" i="1"/>
  <c r="E117" i="1" s="1"/>
  <c r="C118" i="1"/>
  <c r="E118" i="1" s="1"/>
  <c r="C119" i="1"/>
  <c r="E119" i="1" s="1"/>
  <c r="C120" i="1"/>
  <c r="E120" i="1" s="1"/>
  <c r="C121" i="1"/>
  <c r="E121" i="1" s="1"/>
  <c r="C122" i="1"/>
  <c r="E122" i="1" s="1"/>
  <c r="C123" i="1"/>
  <c r="E123" i="1" s="1"/>
  <c r="C124" i="1"/>
  <c r="E124" i="1" s="1"/>
  <c r="C125" i="1"/>
  <c r="E125" i="1" s="1"/>
  <c r="C126" i="1"/>
  <c r="E126" i="1" s="1"/>
  <c r="C127" i="1"/>
  <c r="E127" i="1" s="1"/>
  <c r="C128" i="1"/>
  <c r="E128" i="1" s="1"/>
  <c r="C129" i="1"/>
  <c r="E129" i="1" s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E140" i="1" s="1"/>
  <c r="C141" i="1"/>
  <c r="E141" i="1" s="1"/>
  <c r="C142" i="1"/>
  <c r="E142" i="1" s="1"/>
  <c r="C143" i="1"/>
  <c r="E143" i="1" s="1"/>
  <c r="C144" i="1"/>
  <c r="E144" i="1" s="1"/>
  <c r="C145" i="1"/>
  <c r="E145" i="1" s="1"/>
  <c r="C146" i="1"/>
  <c r="E146" i="1" s="1"/>
  <c r="C147" i="1"/>
  <c r="E147" i="1" s="1"/>
  <c r="C148" i="1"/>
  <c r="E148" i="1" s="1"/>
  <c r="C149" i="1"/>
  <c r="E149" i="1" s="1"/>
  <c r="C150" i="1"/>
  <c r="E150" i="1" s="1"/>
  <c r="C151" i="1"/>
  <c r="E151" i="1" s="1"/>
  <c r="C152" i="1"/>
  <c r="E152" i="1" s="1"/>
  <c r="C153" i="1"/>
  <c r="E153" i="1" s="1"/>
  <c r="C154" i="1"/>
  <c r="E154" i="1" s="1"/>
  <c r="C155" i="1"/>
  <c r="E155" i="1" s="1"/>
  <c r="C156" i="1"/>
  <c r="E156" i="1" s="1"/>
  <c r="C157" i="1"/>
  <c r="E157" i="1" s="1"/>
  <c r="C158" i="1"/>
  <c r="E158" i="1" s="1"/>
  <c r="C159" i="1"/>
  <c r="E159" i="1" s="1"/>
  <c r="C160" i="1"/>
  <c r="E160" i="1" s="1"/>
  <c r="C161" i="1"/>
  <c r="E161" i="1" s="1"/>
  <c r="C162" i="1"/>
  <c r="E162" i="1" s="1"/>
  <c r="C163" i="1"/>
  <c r="E163" i="1" s="1"/>
  <c r="C164" i="1"/>
  <c r="E164" i="1" s="1"/>
  <c r="C165" i="1"/>
  <c r="E165" i="1" s="1"/>
  <c r="C166" i="1"/>
  <c r="E166" i="1" s="1"/>
  <c r="C167" i="1"/>
  <c r="E167" i="1" s="1"/>
  <c r="C168" i="1"/>
  <c r="E168" i="1" s="1"/>
  <c r="C169" i="1"/>
  <c r="E169" i="1" s="1"/>
  <c r="C170" i="1"/>
  <c r="E170" i="1" s="1"/>
  <c r="C171" i="1"/>
  <c r="E171" i="1" s="1"/>
  <c r="C172" i="1"/>
  <c r="E172" i="1" s="1"/>
  <c r="C173" i="1"/>
  <c r="E173" i="1" s="1"/>
  <c r="C174" i="1"/>
  <c r="E174" i="1" s="1"/>
  <c r="C175" i="1"/>
  <c r="E175" i="1" s="1"/>
  <c r="C176" i="1"/>
  <c r="E176" i="1" s="1"/>
  <c r="C177" i="1"/>
  <c r="E177" i="1" s="1"/>
  <c r="C178" i="1"/>
  <c r="E178" i="1" s="1"/>
  <c r="C179" i="1"/>
  <c r="E179" i="1" s="1"/>
  <c r="C180" i="1"/>
  <c r="E180" i="1" s="1"/>
  <c r="C181" i="1"/>
  <c r="E181" i="1" s="1"/>
  <c r="C182" i="1"/>
  <c r="E182" i="1" s="1"/>
  <c r="C183" i="1"/>
  <c r="E183" i="1" s="1"/>
  <c r="C184" i="1"/>
  <c r="E184" i="1" s="1"/>
  <c r="C185" i="1"/>
  <c r="E185" i="1" s="1"/>
  <c r="C186" i="1"/>
  <c r="E186" i="1" s="1"/>
  <c r="C187" i="1"/>
  <c r="E187" i="1" s="1"/>
  <c r="C188" i="1"/>
  <c r="E188" i="1" s="1"/>
  <c r="C189" i="1"/>
  <c r="E189" i="1" s="1"/>
  <c r="C190" i="1"/>
  <c r="E190" i="1" s="1"/>
  <c r="C191" i="1"/>
  <c r="E191" i="1" s="1"/>
  <c r="C192" i="1"/>
  <c r="E192" i="1" s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02" i="1"/>
  <c r="E202" i="1" s="1"/>
  <c r="C203" i="1"/>
  <c r="E203" i="1" s="1"/>
  <c r="C204" i="1"/>
  <c r="E204" i="1" s="1"/>
  <c r="C205" i="1"/>
  <c r="E205" i="1" s="1"/>
  <c r="C206" i="1"/>
  <c r="E206" i="1" s="1"/>
  <c r="C207" i="1"/>
  <c r="E207" i="1" s="1"/>
  <c r="C208" i="1"/>
  <c r="E208" i="1" s="1"/>
  <c r="C209" i="1"/>
  <c r="E209" i="1" s="1"/>
  <c r="C210" i="1"/>
  <c r="E210" i="1" s="1"/>
  <c r="C211" i="1"/>
  <c r="E211" i="1" s="1"/>
  <c r="C212" i="1"/>
  <c r="E212" i="1" s="1"/>
  <c r="C213" i="1"/>
  <c r="E213" i="1" s="1"/>
  <c r="C214" i="1"/>
  <c r="E214" i="1" s="1"/>
  <c r="C215" i="1"/>
  <c r="E215" i="1" s="1"/>
  <c r="C216" i="1"/>
  <c r="E216" i="1" s="1"/>
  <c r="C217" i="1"/>
  <c r="E217" i="1" s="1"/>
  <c r="C218" i="1"/>
  <c r="E218" i="1" s="1"/>
  <c r="C219" i="1"/>
  <c r="E219" i="1" s="1"/>
  <c r="C220" i="1"/>
  <c r="E220" i="1" s="1"/>
  <c r="C221" i="1"/>
  <c r="E221" i="1" s="1"/>
  <c r="C222" i="1"/>
  <c r="E222" i="1" s="1"/>
  <c r="C223" i="1"/>
  <c r="E223" i="1" s="1"/>
  <c r="C224" i="1"/>
  <c r="E224" i="1" s="1"/>
  <c r="C225" i="1"/>
  <c r="E225" i="1" s="1"/>
  <c r="C226" i="1"/>
  <c r="E226" i="1" s="1"/>
  <c r="C227" i="1"/>
  <c r="E227" i="1" s="1"/>
  <c r="C228" i="1"/>
  <c r="E228" i="1" s="1"/>
  <c r="C229" i="1"/>
  <c r="E229" i="1" s="1"/>
  <c r="C230" i="1"/>
  <c r="E230" i="1" s="1"/>
  <c r="C231" i="1"/>
  <c r="E231" i="1" s="1"/>
  <c r="C232" i="1"/>
  <c r="E232" i="1" s="1"/>
  <c r="C233" i="1"/>
  <c r="E233" i="1" s="1"/>
  <c r="C234" i="1"/>
  <c r="E234" i="1" s="1"/>
  <c r="C235" i="1"/>
  <c r="E235" i="1" s="1"/>
  <c r="C236" i="1"/>
  <c r="E236" i="1" s="1"/>
  <c r="C237" i="1"/>
  <c r="E237" i="1" s="1"/>
  <c r="C238" i="1"/>
  <c r="E238" i="1" s="1"/>
  <c r="C239" i="1"/>
  <c r="E239" i="1" s="1"/>
  <c r="C240" i="1"/>
  <c r="E240" i="1" s="1"/>
  <c r="C241" i="1"/>
  <c r="E241" i="1" s="1"/>
  <c r="C242" i="1"/>
  <c r="E242" i="1" s="1"/>
  <c r="C243" i="1"/>
  <c r="E243" i="1" s="1"/>
  <c r="C244" i="1"/>
  <c r="E244" i="1" s="1"/>
  <c r="C245" i="1"/>
  <c r="E245" i="1" s="1"/>
  <c r="C246" i="1"/>
  <c r="E246" i="1" s="1"/>
  <c r="C247" i="1"/>
  <c r="E247" i="1" s="1"/>
  <c r="C248" i="1"/>
  <c r="E248" i="1" s="1"/>
  <c r="C249" i="1"/>
  <c r="E249" i="1" s="1"/>
  <c r="C250" i="1"/>
  <c r="E250" i="1" s="1"/>
  <c r="C251" i="1"/>
  <c r="E251" i="1" s="1"/>
  <c r="C252" i="1"/>
  <c r="E252" i="1" s="1"/>
  <c r="C253" i="1"/>
  <c r="E253" i="1" s="1"/>
  <c r="C254" i="1"/>
  <c r="E254" i="1" s="1"/>
  <c r="C255" i="1"/>
  <c r="E255" i="1" s="1"/>
  <c r="C256" i="1"/>
  <c r="E256" i="1" s="1"/>
  <c r="C257" i="1"/>
  <c r="E257" i="1" s="1"/>
  <c r="C258" i="1"/>
  <c r="E258" i="1" s="1"/>
  <c r="C259" i="1"/>
  <c r="E259" i="1" s="1"/>
  <c r="C260" i="1"/>
  <c r="E260" i="1" s="1"/>
  <c r="C261" i="1"/>
  <c r="E261" i="1" s="1"/>
  <c r="C262" i="1"/>
  <c r="E262" i="1" s="1"/>
  <c r="C263" i="1"/>
  <c r="E263" i="1" s="1"/>
  <c r="C264" i="1"/>
  <c r="E264" i="1" s="1"/>
  <c r="C265" i="1"/>
  <c r="E265" i="1" s="1"/>
  <c r="C266" i="1"/>
  <c r="E266" i="1" s="1"/>
  <c r="C267" i="1"/>
  <c r="E267" i="1" s="1"/>
  <c r="C268" i="1"/>
  <c r="E268" i="1" s="1"/>
  <c r="C269" i="1"/>
  <c r="E269" i="1" s="1"/>
  <c r="C270" i="1"/>
  <c r="E270" i="1" s="1"/>
  <c r="C271" i="1"/>
  <c r="E271" i="1" s="1"/>
  <c r="C272" i="1"/>
  <c r="E272" i="1" s="1"/>
  <c r="C273" i="1"/>
  <c r="E273" i="1" s="1"/>
  <c r="C274" i="1"/>
  <c r="E274" i="1" s="1"/>
  <c r="C275" i="1"/>
  <c r="E275" i="1" s="1"/>
  <c r="C276" i="1"/>
  <c r="E276" i="1" s="1"/>
  <c r="C277" i="1"/>
  <c r="E277" i="1" s="1"/>
  <c r="C278" i="1"/>
  <c r="E278" i="1" s="1"/>
  <c r="C279" i="1"/>
  <c r="E279" i="1" s="1"/>
  <c r="C280" i="1"/>
  <c r="E280" i="1" s="1"/>
  <c r="C281" i="1"/>
  <c r="E281" i="1" s="1"/>
  <c r="C282" i="1"/>
  <c r="E282" i="1" s="1"/>
  <c r="C283" i="1"/>
  <c r="E283" i="1" s="1"/>
  <c r="C284" i="1"/>
  <c r="E284" i="1" s="1"/>
  <c r="C285" i="1"/>
  <c r="E285" i="1" s="1"/>
  <c r="C286" i="1"/>
  <c r="E286" i="1" s="1"/>
  <c r="C287" i="1"/>
  <c r="E287" i="1" s="1"/>
  <c r="C288" i="1"/>
  <c r="E288" i="1" s="1"/>
  <c r="C289" i="1"/>
  <c r="E289" i="1" s="1"/>
  <c r="C290" i="1"/>
  <c r="E290" i="1" s="1"/>
  <c r="C291" i="1"/>
  <c r="E291" i="1" s="1"/>
  <c r="C292" i="1"/>
  <c r="E292" i="1" s="1"/>
  <c r="C293" i="1"/>
  <c r="E293" i="1" s="1"/>
  <c r="C294" i="1"/>
  <c r="E294" i="1" s="1"/>
  <c r="C295" i="1"/>
  <c r="E295" i="1" s="1"/>
  <c r="C296" i="1"/>
  <c r="E296" i="1" s="1"/>
  <c r="C297" i="1"/>
  <c r="E297" i="1" s="1"/>
  <c r="C298" i="1"/>
  <c r="E298" i="1" s="1"/>
  <c r="C299" i="1"/>
  <c r="E299" i="1" s="1"/>
  <c r="C300" i="1"/>
  <c r="E300" i="1" s="1"/>
  <c r="C301" i="1"/>
  <c r="E301" i="1" s="1"/>
  <c r="C302" i="1"/>
  <c r="E302" i="1" s="1"/>
  <c r="C303" i="1"/>
  <c r="E303" i="1" s="1"/>
  <c r="C304" i="1"/>
  <c r="E304" i="1" s="1"/>
  <c r="C305" i="1"/>
  <c r="E305" i="1" s="1"/>
  <c r="C306" i="1"/>
  <c r="E306" i="1" s="1"/>
  <c r="C307" i="1"/>
  <c r="E307" i="1" s="1"/>
  <c r="C308" i="1"/>
  <c r="E308" i="1" s="1"/>
  <c r="C309" i="1"/>
  <c r="E309" i="1" s="1"/>
  <c r="C310" i="1"/>
  <c r="E310" i="1" s="1"/>
  <c r="C311" i="1"/>
  <c r="E311" i="1" s="1"/>
  <c r="C312" i="1"/>
  <c r="E312" i="1" s="1"/>
  <c r="C313" i="1"/>
  <c r="E313" i="1" s="1"/>
  <c r="C314" i="1"/>
  <c r="E314" i="1" s="1"/>
  <c r="C315" i="1"/>
  <c r="E315" i="1" s="1"/>
  <c r="C316" i="1"/>
  <c r="E316" i="1" s="1"/>
  <c r="C317" i="1"/>
  <c r="E317" i="1" s="1"/>
  <c r="C318" i="1"/>
  <c r="E318" i="1" s="1"/>
  <c r="C319" i="1"/>
  <c r="E319" i="1" s="1"/>
  <c r="C320" i="1"/>
  <c r="E320" i="1" s="1"/>
  <c r="C321" i="1"/>
  <c r="E321" i="1" s="1"/>
  <c r="C322" i="1"/>
  <c r="E322" i="1" s="1"/>
  <c r="C323" i="1"/>
  <c r="E323" i="1" s="1"/>
  <c r="C324" i="1"/>
  <c r="E324" i="1" s="1"/>
  <c r="C325" i="1"/>
  <c r="E325" i="1" s="1"/>
  <c r="C326" i="1"/>
  <c r="E326" i="1" s="1"/>
  <c r="C327" i="1"/>
  <c r="E327" i="1" s="1"/>
  <c r="C328" i="1"/>
  <c r="E328" i="1" s="1"/>
  <c r="C329" i="1"/>
  <c r="E329" i="1" s="1"/>
  <c r="C330" i="1"/>
  <c r="E330" i="1" s="1"/>
  <c r="C331" i="1"/>
  <c r="E331" i="1" s="1"/>
  <c r="C332" i="1"/>
  <c r="E332" i="1" s="1"/>
  <c r="C333" i="1"/>
  <c r="E333" i="1" s="1"/>
  <c r="C334" i="1"/>
  <c r="E334" i="1" s="1"/>
  <c r="C335" i="1"/>
  <c r="E335" i="1" s="1"/>
  <c r="C336" i="1"/>
  <c r="E336" i="1" s="1"/>
  <c r="C337" i="1"/>
  <c r="E337" i="1" s="1"/>
  <c r="C338" i="1"/>
  <c r="E338" i="1" s="1"/>
  <c r="C339" i="1"/>
  <c r="E339" i="1" s="1"/>
  <c r="C340" i="1"/>
  <c r="E340" i="1" s="1"/>
  <c r="C341" i="1"/>
  <c r="E341" i="1" s="1"/>
  <c r="C342" i="1"/>
  <c r="E342" i="1" s="1"/>
  <c r="C343" i="1"/>
  <c r="E343" i="1" s="1"/>
  <c r="C344" i="1"/>
  <c r="E344" i="1" s="1"/>
  <c r="C345" i="1"/>
  <c r="E345" i="1" s="1"/>
  <c r="C346" i="1"/>
  <c r="E346" i="1" s="1"/>
  <c r="C347" i="1"/>
  <c r="E347" i="1" s="1"/>
  <c r="C348" i="1"/>
  <c r="E348" i="1" s="1"/>
  <c r="C349" i="1"/>
  <c r="E349" i="1" s="1"/>
  <c r="C350" i="1"/>
  <c r="E350" i="1" s="1"/>
  <c r="C351" i="1"/>
  <c r="E351" i="1" s="1"/>
  <c r="C352" i="1"/>
  <c r="E352" i="1" s="1"/>
  <c r="C353" i="1"/>
  <c r="E353" i="1" s="1"/>
  <c r="C354" i="1"/>
  <c r="E354" i="1" s="1"/>
  <c r="C355" i="1"/>
  <c r="E355" i="1" s="1"/>
  <c r="C356" i="1"/>
  <c r="E356" i="1" s="1"/>
  <c r="C357" i="1"/>
  <c r="E357" i="1" s="1"/>
  <c r="C358" i="1"/>
  <c r="E358" i="1" s="1"/>
  <c r="C359" i="1"/>
  <c r="E359" i="1" s="1"/>
  <c r="C360" i="1"/>
  <c r="E360" i="1" s="1"/>
  <c r="C361" i="1"/>
  <c r="E361" i="1" s="1"/>
  <c r="C362" i="1"/>
  <c r="E362" i="1" s="1"/>
  <c r="C363" i="1"/>
  <c r="E363" i="1" s="1"/>
  <c r="C364" i="1"/>
  <c r="E364" i="1" s="1"/>
  <c r="C365" i="1"/>
  <c r="E365" i="1" s="1"/>
  <c r="C366" i="1"/>
  <c r="E366" i="1" s="1"/>
  <c r="C367" i="1"/>
  <c r="E367" i="1" s="1"/>
  <c r="C368" i="1"/>
  <c r="E368" i="1" s="1"/>
  <c r="C369" i="1"/>
  <c r="E369" i="1" s="1"/>
  <c r="C370" i="1"/>
  <c r="E370" i="1" s="1"/>
  <c r="C371" i="1"/>
  <c r="E371" i="1" s="1"/>
  <c r="C372" i="1"/>
  <c r="E372" i="1" s="1"/>
  <c r="C373" i="1"/>
  <c r="E373" i="1" s="1"/>
  <c r="C374" i="1"/>
  <c r="E374" i="1" s="1"/>
  <c r="C375" i="1"/>
  <c r="E375" i="1" s="1"/>
  <c r="C376" i="1"/>
  <c r="E376" i="1" s="1"/>
  <c r="C377" i="1"/>
  <c r="E377" i="1" s="1"/>
  <c r="C378" i="1"/>
  <c r="E378" i="1" s="1"/>
  <c r="C379" i="1"/>
  <c r="E379" i="1" s="1"/>
  <c r="C380" i="1"/>
  <c r="E380" i="1" s="1"/>
  <c r="C381" i="1"/>
  <c r="E381" i="1" s="1"/>
  <c r="C382" i="1"/>
  <c r="E382" i="1" s="1"/>
  <c r="C383" i="1"/>
  <c r="E383" i="1" s="1"/>
  <c r="C384" i="1"/>
  <c r="E384" i="1" s="1"/>
  <c r="C385" i="1"/>
  <c r="E385" i="1" s="1"/>
  <c r="C386" i="1"/>
  <c r="E386" i="1" s="1"/>
  <c r="C387" i="1"/>
  <c r="E387" i="1" s="1"/>
  <c r="C388" i="1"/>
  <c r="E388" i="1" s="1"/>
  <c r="C389" i="1"/>
  <c r="E389" i="1" s="1"/>
  <c r="C390" i="1"/>
  <c r="E390" i="1" s="1"/>
  <c r="C391" i="1"/>
  <c r="E391" i="1" s="1"/>
  <c r="C392" i="1"/>
  <c r="E392" i="1" s="1"/>
  <c r="C393" i="1"/>
  <c r="E393" i="1" s="1"/>
  <c r="C394" i="1"/>
  <c r="E394" i="1" s="1"/>
  <c r="C395" i="1"/>
  <c r="E395" i="1" s="1"/>
  <c r="C396" i="1"/>
  <c r="E396" i="1" s="1"/>
  <c r="C397" i="1"/>
  <c r="E397" i="1" s="1"/>
  <c r="C398" i="1"/>
  <c r="E398" i="1" s="1"/>
  <c r="C399" i="1"/>
  <c r="E399" i="1" s="1"/>
  <c r="C400" i="1"/>
  <c r="E400" i="1" s="1"/>
  <c r="C401" i="1"/>
  <c r="E401" i="1" s="1"/>
  <c r="C402" i="1"/>
  <c r="E402" i="1" s="1"/>
  <c r="C403" i="1"/>
  <c r="E403" i="1" s="1"/>
  <c r="C404" i="1"/>
  <c r="E404" i="1" s="1"/>
  <c r="C405" i="1"/>
  <c r="E405" i="1" s="1"/>
  <c r="C406" i="1"/>
  <c r="E406" i="1" s="1"/>
  <c r="C407" i="1"/>
  <c r="E407" i="1" s="1"/>
  <c r="C408" i="1"/>
  <c r="E408" i="1" s="1"/>
  <c r="C409" i="1"/>
  <c r="E409" i="1" s="1"/>
  <c r="C410" i="1"/>
  <c r="E410" i="1" s="1"/>
  <c r="C411" i="1"/>
  <c r="E411" i="1" s="1"/>
  <c r="C412" i="1"/>
  <c r="E412" i="1" s="1"/>
  <c r="C413" i="1"/>
  <c r="E413" i="1" s="1"/>
  <c r="C414" i="1"/>
  <c r="E414" i="1" s="1"/>
  <c r="C415" i="1"/>
  <c r="E415" i="1" s="1"/>
  <c r="C416" i="1"/>
  <c r="E416" i="1" s="1"/>
  <c r="C417" i="1"/>
  <c r="E417" i="1" s="1"/>
  <c r="C418" i="1"/>
  <c r="E418" i="1" s="1"/>
  <c r="C419" i="1"/>
  <c r="E419" i="1" s="1"/>
  <c r="C420" i="1"/>
  <c r="E420" i="1" s="1"/>
  <c r="C421" i="1"/>
  <c r="E421" i="1" s="1"/>
  <c r="C422" i="1"/>
  <c r="E422" i="1" s="1"/>
  <c r="C423" i="1"/>
  <c r="E423" i="1" s="1"/>
  <c r="C424" i="1"/>
  <c r="E424" i="1" s="1"/>
  <c r="C425" i="1"/>
  <c r="E425" i="1" s="1"/>
  <c r="C426" i="1"/>
  <c r="E426" i="1" s="1"/>
  <c r="C427" i="1"/>
  <c r="E427" i="1" s="1"/>
  <c r="C428" i="1"/>
  <c r="E428" i="1" s="1"/>
  <c r="C429" i="1"/>
  <c r="E429" i="1" s="1"/>
  <c r="C430" i="1"/>
  <c r="E430" i="1" s="1"/>
  <c r="C431" i="1"/>
  <c r="E431" i="1" s="1"/>
  <c r="C432" i="1"/>
  <c r="E432" i="1" s="1"/>
  <c r="C433" i="1"/>
  <c r="E433" i="1" s="1"/>
  <c r="C434" i="1"/>
  <c r="E434" i="1" s="1"/>
  <c r="C435" i="1"/>
  <c r="E435" i="1" s="1"/>
  <c r="C436" i="1"/>
  <c r="E436" i="1" s="1"/>
  <c r="C437" i="1"/>
  <c r="E437" i="1" s="1"/>
  <c r="C438" i="1"/>
  <c r="E438" i="1" s="1"/>
  <c r="C439" i="1"/>
  <c r="E439" i="1" s="1"/>
  <c r="C440" i="1"/>
  <c r="E440" i="1" s="1"/>
  <c r="C441" i="1"/>
  <c r="E441" i="1" s="1"/>
  <c r="C442" i="1"/>
  <c r="E442" i="1" s="1"/>
  <c r="C443" i="1"/>
  <c r="E443" i="1" s="1"/>
  <c r="C444" i="1"/>
  <c r="E444" i="1" s="1"/>
  <c r="C445" i="1"/>
  <c r="E445" i="1" s="1"/>
  <c r="C446" i="1"/>
  <c r="E446" i="1" s="1"/>
  <c r="C447" i="1"/>
  <c r="E447" i="1" s="1"/>
  <c r="C448" i="1"/>
  <c r="E448" i="1" s="1"/>
  <c r="C449" i="1"/>
  <c r="E449" i="1" s="1"/>
  <c r="C450" i="1"/>
  <c r="E450" i="1" s="1"/>
  <c r="C451" i="1"/>
  <c r="E451" i="1" s="1"/>
  <c r="C452" i="1"/>
  <c r="E452" i="1" s="1"/>
  <c r="C453" i="1"/>
  <c r="E453" i="1" s="1"/>
  <c r="C454" i="1"/>
  <c r="E454" i="1" s="1"/>
  <c r="C455" i="1"/>
  <c r="E455" i="1" s="1"/>
  <c r="C456" i="1"/>
  <c r="E456" i="1" s="1"/>
  <c r="C457" i="1"/>
  <c r="E457" i="1" s="1"/>
  <c r="C458" i="1"/>
  <c r="E458" i="1" s="1"/>
  <c r="C459" i="1"/>
  <c r="E459" i="1" s="1"/>
  <c r="C460" i="1"/>
  <c r="E460" i="1" s="1"/>
  <c r="C461" i="1"/>
  <c r="E461" i="1" s="1"/>
  <c r="C462" i="1"/>
  <c r="E462" i="1" s="1"/>
  <c r="C463" i="1"/>
  <c r="E463" i="1" s="1"/>
  <c r="C464" i="1"/>
  <c r="E464" i="1" s="1"/>
  <c r="C465" i="1"/>
  <c r="E465" i="1" s="1"/>
  <c r="C466" i="1"/>
  <c r="E466" i="1" s="1"/>
  <c r="C467" i="1"/>
  <c r="E467" i="1" s="1"/>
  <c r="C468" i="1"/>
  <c r="E468" i="1" s="1"/>
  <c r="C469" i="1"/>
  <c r="E469" i="1" s="1"/>
  <c r="C470" i="1"/>
  <c r="E470" i="1" s="1"/>
  <c r="C471" i="1"/>
  <c r="E471" i="1" s="1"/>
  <c r="C472" i="1"/>
  <c r="E472" i="1" s="1"/>
  <c r="C473" i="1"/>
  <c r="E473" i="1" s="1"/>
  <c r="C474" i="1"/>
  <c r="E474" i="1" s="1"/>
  <c r="C475" i="1"/>
  <c r="E475" i="1" s="1"/>
  <c r="C476" i="1"/>
  <c r="E476" i="1" s="1"/>
  <c r="C477" i="1"/>
  <c r="E477" i="1" s="1"/>
  <c r="C478" i="1"/>
  <c r="E478" i="1" s="1"/>
  <c r="C479" i="1"/>
  <c r="E479" i="1" s="1"/>
  <c r="C480" i="1"/>
  <c r="E480" i="1" s="1"/>
  <c r="C481" i="1"/>
  <c r="E481" i="1" s="1"/>
  <c r="C482" i="1"/>
  <c r="E482" i="1" s="1"/>
  <c r="C483" i="1"/>
  <c r="E483" i="1" s="1"/>
  <c r="C484" i="1"/>
  <c r="E484" i="1" s="1"/>
  <c r="C485" i="1"/>
  <c r="E485" i="1" s="1"/>
  <c r="C486" i="1"/>
  <c r="E486" i="1" s="1"/>
  <c r="C487" i="1"/>
  <c r="E487" i="1" s="1"/>
  <c r="C488" i="1"/>
  <c r="E488" i="1" s="1"/>
  <c r="C489" i="1"/>
  <c r="E489" i="1" s="1"/>
  <c r="C490" i="1"/>
  <c r="E490" i="1" s="1"/>
  <c r="C491" i="1"/>
  <c r="E491" i="1" s="1"/>
  <c r="C492" i="1"/>
  <c r="E492" i="1" s="1"/>
  <c r="C493" i="1"/>
  <c r="E493" i="1" s="1"/>
  <c r="C494" i="1"/>
  <c r="E494" i="1" s="1"/>
  <c r="C495" i="1"/>
  <c r="E495" i="1" s="1"/>
  <c r="C496" i="1"/>
  <c r="E496" i="1" s="1"/>
  <c r="C497" i="1"/>
  <c r="E497" i="1" s="1"/>
  <c r="C498" i="1"/>
  <c r="E498" i="1" s="1"/>
  <c r="C499" i="1"/>
  <c r="E499" i="1" s="1"/>
  <c r="C500" i="1"/>
  <c r="E500" i="1" s="1"/>
  <c r="C501" i="1"/>
  <c r="E501" i="1" s="1"/>
  <c r="C502" i="1"/>
  <c r="E502" i="1" s="1"/>
  <c r="C503" i="1"/>
  <c r="E503" i="1" s="1"/>
  <c r="C504" i="1"/>
  <c r="E504" i="1" s="1"/>
  <c r="C505" i="1"/>
  <c r="E505" i="1" s="1"/>
  <c r="C506" i="1"/>
  <c r="E506" i="1" s="1"/>
  <c r="C507" i="1"/>
  <c r="E507" i="1" s="1"/>
  <c r="A8" i="1"/>
  <c r="B8" i="1" s="1"/>
  <c r="A9" i="1"/>
  <c r="B9" i="1" s="1"/>
  <c r="A10" i="1"/>
  <c r="B10" i="1" s="1"/>
  <c r="A11" i="1"/>
  <c r="B11" i="1" s="1"/>
  <c r="A12" i="1"/>
  <c r="B12" i="1" s="1"/>
  <c r="A13" i="1"/>
  <c r="B13" i="1" s="1"/>
  <c r="A14" i="1"/>
  <c r="B14" i="1" s="1"/>
  <c r="A15" i="1"/>
  <c r="B15" i="1" s="1"/>
  <c r="A16" i="1"/>
  <c r="B16" i="1" s="1"/>
  <c r="A17" i="1"/>
  <c r="B17" i="1" s="1"/>
  <c r="A18" i="1"/>
  <c r="B18" i="1" s="1"/>
  <c r="A19" i="1"/>
  <c r="B19" i="1" s="1"/>
  <c r="A20" i="1"/>
  <c r="B20" i="1" s="1"/>
  <c r="A21" i="1"/>
  <c r="B21" i="1" s="1"/>
  <c r="A22" i="1"/>
  <c r="B22" i="1" s="1"/>
  <c r="A23" i="1"/>
  <c r="B23" i="1" s="1"/>
  <c r="A24" i="1"/>
  <c r="B24" i="1" s="1"/>
  <c r="A25" i="1"/>
  <c r="B25" i="1" s="1"/>
  <c r="A26" i="1"/>
  <c r="B26" i="1" s="1"/>
  <c r="A27" i="1"/>
  <c r="B27" i="1" s="1"/>
  <c r="A28" i="1"/>
  <c r="B28" i="1" s="1"/>
  <c r="A29" i="1"/>
  <c r="B29" i="1" s="1"/>
  <c r="A30" i="1"/>
  <c r="B30" i="1" s="1"/>
  <c r="A31" i="1"/>
  <c r="B31" i="1" s="1"/>
  <c r="A32" i="1"/>
  <c r="B32" i="1" s="1"/>
  <c r="A33" i="1"/>
  <c r="B33" i="1" s="1"/>
  <c r="A34" i="1"/>
  <c r="B34" i="1" s="1"/>
  <c r="A35" i="1"/>
  <c r="B35" i="1" s="1"/>
  <c r="A36" i="1"/>
  <c r="B36" i="1" s="1"/>
  <c r="A37" i="1"/>
  <c r="B37" i="1" s="1"/>
  <c r="A38" i="1"/>
  <c r="B38" i="1" s="1"/>
  <c r="A39" i="1"/>
  <c r="B39" i="1" s="1"/>
  <c r="A40" i="1"/>
  <c r="B40" i="1" s="1"/>
  <c r="A41" i="1"/>
  <c r="B41" i="1" s="1"/>
  <c r="A42" i="1"/>
  <c r="B42" i="1" s="1"/>
  <c r="A43" i="1"/>
  <c r="B43" i="1" s="1"/>
  <c r="A44" i="1"/>
  <c r="B44" i="1" s="1"/>
  <c r="A45" i="1"/>
  <c r="B45" i="1" s="1"/>
  <c r="A46" i="1"/>
  <c r="B46" i="1" s="1"/>
  <c r="A47" i="1"/>
  <c r="B47" i="1" s="1"/>
  <c r="A48" i="1"/>
  <c r="B48" i="1" s="1"/>
  <c r="A49" i="1"/>
  <c r="B49" i="1" s="1"/>
  <c r="A50" i="1"/>
  <c r="B50" i="1" s="1"/>
  <c r="A51" i="1"/>
  <c r="B51" i="1" s="1"/>
  <c r="A52" i="1"/>
  <c r="B52" i="1" s="1"/>
  <c r="A53" i="1"/>
  <c r="B53" i="1" s="1"/>
  <c r="A54" i="1"/>
  <c r="B54" i="1" s="1"/>
  <c r="A55" i="1"/>
  <c r="B55" i="1" s="1"/>
  <c r="A56" i="1"/>
  <c r="B56" i="1" s="1"/>
  <c r="A57" i="1"/>
  <c r="B57" i="1" s="1"/>
  <c r="A58" i="1"/>
  <c r="B58" i="1" s="1"/>
  <c r="A59" i="1"/>
  <c r="B59" i="1" s="1"/>
  <c r="A60" i="1"/>
  <c r="B60" i="1" s="1"/>
  <c r="A61" i="1"/>
  <c r="B61" i="1" s="1"/>
  <c r="A62" i="1"/>
  <c r="B62" i="1" s="1"/>
  <c r="A63" i="1"/>
  <c r="B63" i="1" s="1"/>
  <c r="A64" i="1"/>
  <c r="B64" i="1" s="1"/>
  <c r="A65" i="1"/>
  <c r="B65" i="1" s="1"/>
  <c r="A66" i="1"/>
  <c r="B66" i="1" s="1"/>
  <c r="A67" i="1"/>
  <c r="B67" i="1" s="1"/>
  <c r="A68" i="1"/>
  <c r="B68" i="1" s="1"/>
  <c r="A69" i="1"/>
  <c r="B69" i="1" s="1"/>
  <c r="A70" i="1"/>
  <c r="B70" i="1" s="1"/>
  <c r="A71" i="1"/>
  <c r="B71" i="1" s="1"/>
  <c r="A72" i="1"/>
  <c r="B72" i="1" s="1"/>
  <c r="A73" i="1"/>
  <c r="B73" i="1" s="1"/>
  <c r="A74" i="1"/>
  <c r="B74" i="1" s="1"/>
  <c r="A75" i="1"/>
  <c r="B75" i="1" s="1"/>
  <c r="A76" i="1"/>
  <c r="B76" i="1" s="1"/>
  <c r="A77" i="1"/>
  <c r="B77" i="1" s="1"/>
  <c r="A78" i="1"/>
  <c r="B78" i="1" s="1"/>
  <c r="A79" i="1"/>
  <c r="B79" i="1" s="1"/>
  <c r="A80" i="1"/>
  <c r="B80" i="1" s="1"/>
  <c r="A81" i="1"/>
  <c r="B81" i="1" s="1"/>
  <c r="A82" i="1"/>
  <c r="B82" i="1" s="1"/>
  <c r="A83" i="1"/>
  <c r="B83" i="1" s="1"/>
  <c r="A84" i="1"/>
  <c r="B84" i="1" s="1"/>
  <c r="A85" i="1"/>
  <c r="B85" i="1" s="1"/>
  <c r="A86" i="1"/>
  <c r="B86" i="1" s="1"/>
  <c r="A87" i="1"/>
  <c r="B87" i="1" s="1"/>
  <c r="A88" i="1"/>
  <c r="B88" i="1" s="1"/>
  <c r="A89" i="1"/>
  <c r="B89" i="1" s="1"/>
  <c r="A90" i="1"/>
  <c r="B90" i="1" s="1"/>
  <c r="A91" i="1"/>
  <c r="B91" i="1" s="1"/>
  <c r="A92" i="1"/>
  <c r="B92" i="1" s="1"/>
  <c r="A93" i="1"/>
  <c r="B93" i="1" s="1"/>
  <c r="A94" i="1"/>
  <c r="B94" i="1" s="1"/>
  <c r="A95" i="1"/>
  <c r="B95" i="1" s="1"/>
  <c r="A96" i="1"/>
  <c r="B96" i="1" s="1"/>
  <c r="A97" i="1"/>
  <c r="B97" i="1" s="1"/>
  <c r="A98" i="1"/>
  <c r="B98" i="1" s="1"/>
  <c r="A99" i="1"/>
  <c r="B99" i="1" s="1"/>
  <c r="A100" i="1"/>
  <c r="B100" i="1" s="1"/>
  <c r="A101" i="1"/>
  <c r="B101" i="1" s="1"/>
  <c r="A102" i="1"/>
  <c r="B102" i="1" s="1"/>
  <c r="A103" i="1"/>
  <c r="B103" i="1" s="1"/>
  <c r="A104" i="1"/>
  <c r="B104" i="1" s="1"/>
  <c r="A105" i="1"/>
  <c r="B105" i="1" s="1"/>
  <c r="A106" i="1"/>
  <c r="B106" i="1" s="1"/>
  <c r="A107" i="1"/>
  <c r="B107" i="1" s="1"/>
  <c r="A108" i="1"/>
  <c r="B108" i="1" s="1"/>
  <c r="A109" i="1"/>
  <c r="B109" i="1" s="1"/>
  <c r="A110" i="1"/>
  <c r="B110" i="1" s="1"/>
  <c r="A111" i="1"/>
  <c r="B111" i="1" s="1"/>
  <c r="A112" i="1"/>
  <c r="B112" i="1" s="1"/>
  <c r="A113" i="1"/>
  <c r="B113" i="1" s="1"/>
  <c r="A114" i="1"/>
  <c r="B114" i="1" s="1"/>
  <c r="A115" i="1"/>
  <c r="B115" i="1" s="1"/>
  <c r="A116" i="1"/>
  <c r="B116" i="1" s="1"/>
  <c r="A117" i="1"/>
  <c r="B117" i="1" s="1"/>
  <c r="A118" i="1"/>
  <c r="B118" i="1" s="1"/>
  <c r="A119" i="1"/>
  <c r="B119" i="1" s="1"/>
  <c r="A120" i="1"/>
  <c r="B120" i="1" s="1"/>
  <c r="A121" i="1"/>
  <c r="B121" i="1" s="1"/>
  <c r="A122" i="1"/>
  <c r="B122" i="1" s="1"/>
  <c r="A123" i="1"/>
  <c r="B123" i="1" s="1"/>
  <c r="A124" i="1"/>
  <c r="B124" i="1" s="1"/>
  <c r="A125" i="1"/>
  <c r="B125" i="1" s="1"/>
  <c r="A126" i="1"/>
  <c r="B126" i="1" s="1"/>
  <c r="A127" i="1"/>
  <c r="B127" i="1" s="1"/>
  <c r="A128" i="1"/>
  <c r="B128" i="1" s="1"/>
  <c r="A129" i="1"/>
  <c r="B129" i="1" s="1"/>
  <c r="A130" i="1"/>
  <c r="B130" i="1" s="1"/>
  <c r="A131" i="1"/>
  <c r="B131" i="1" s="1"/>
  <c r="A132" i="1"/>
  <c r="B132" i="1" s="1"/>
  <c r="A133" i="1"/>
  <c r="B133" i="1" s="1"/>
  <c r="A134" i="1"/>
  <c r="B134" i="1" s="1"/>
  <c r="A135" i="1"/>
  <c r="B135" i="1" s="1"/>
  <c r="A136" i="1"/>
  <c r="B136" i="1" s="1"/>
  <c r="A137" i="1"/>
  <c r="B137" i="1" s="1"/>
  <c r="A138" i="1"/>
  <c r="B138" i="1" s="1"/>
  <c r="A139" i="1"/>
  <c r="B139" i="1" s="1"/>
  <c r="A140" i="1"/>
  <c r="B140" i="1" s="1"/>
  <c r="A141" i="1"/>
  <c r="B141" i="1" s="1"/>
  <c r="A142" i="1"/>
  <c r="B142" i="1" s="1"/>
  <c r="A143" i="1"/>
  <c r="B143" i="1" s="1"/>
  <c r="A144" i="1"/>
  <c r="B144" i="1" s="1"/>
  <c r="A145" i="1"/>
  <c r="B145" i="1" s="1"/>
  <c r="A146" i="1"/>
  <c r="B146" i="1" s="1"/>
  <c r="A147" i="1"/>
  <c r="B147" i="1" s="1"/>
  <c r="A148" i="1"/>
  <c r="B148" i="1" s="1"/>
  <c r="A149" i="1"/>
  <c r="B149" i="1" s="1"/>
  <c r="A150" i="1"/>
  <c r="B150" i="1" s="1"/>
  <c r="A151" i="1"/>
  <c r="B151" i="1" s="1"/>
  <c r="A152" i="1"/>
  <c r="B152" i="1" s="1"/>
  <c r="A153" i="1"/>
  <c r="B153" i="1" s="1"/>
  <c r="A154" i="1"/>
  <c r="B154" i="1" s="1"/>
  <c r="A155" i="1"/>
  <c r="B155" i="1" s="1"/>
  <c r="A156" i="1"/>
  <c r="B156" i="1" s="1"/>
  <c r="A157" i="1"/>
  <c r="B157" i="1" s="1"/>
  <c r="A158" i="1"/>
  <c r="B158" i="1" s="1"/>
  <c r="A159" i="1"/>
  <c r="B159" i="1" s="1"/>
  <c r="A160" i="1"/>
  <c r="B160" i="1" s="1"/>
  <c r="A161" i="1"/>
  <c r="B161" i="1" s="1"/>
  <c r="A162" i="1"/>
  <c r="B162" i="1" s="1"/>
  <c r="A163" i="1"/>
  <c r="B163" i="1" s="1"/>
  <c r="A164" i="1"/>
  <c r="B164" i="1" s="1"/>
  <c r="A165" i="1"/>
  <c r="B165" i="1" s="1"/>
  <c r="A166" i="1"/>
  <c r="B166" i="1" s="1"/>
  <c r="A167" i="1"/>
  <c r="B167" i="1" s="1"/>
  <c r="A168" i="1"/>
  <c r="B168" i="1" s="1"/>
  <c r="A169" i="1"/>
  <c r="B169" i="1" s="1"/>
  <c r="A170" i="1"/>
  <c r="B170" i="1" s="1"/>
  <c r="A171" i="1"/>
  <c r="B171" i="1" s="1"/>
  <c r="A172" i="1"/>
  <c r="B172" i="1" s="1"/>
  <c r="A173" i="1"/>
  <c r="B173" i="1" s="1"/>
  <c r="A174" i="1"/>
  <c r="B174" i="1" s="1"/>
  <c r="A175" i="1"/>
  <c r="B175" i="1" s="1"/>
  <c r="A176" i="1"/>
  <c r="B176" i="1" s="1"/>
  <c r="A177" i="1"/>
  <c r="B177" i="1" s="1"/>
  <c r="A178" i="1"/>
  <c r="B178" i="1" s="1"/>
  <c r="A179" i="1"/>
  <c r="B179" i="1" s="1"/>
  <c r="A180" i="1"/>
  <c r="B180" i="1" s="1"/>
  <c r="A181" i="1"/>
  <c r="B181" i="1" s="1"/>
  <c r="A182" i="1"/>
  <c r="B182" i="1" s="1"/>
  <c r="A183" i="1"/>
  <c r="B183" i="1" s="1"/>
  <c r="A184" i="1"/>
  <c r="B184" i="1" s="1"/>
  <c r="A185" i="1"/>
  <c r="B185" i="1" s="1"/>
  <c r="A186" i="1"/>
  <c r="B186" i="1" s="1"/>
  <c r="A187" i="1"/>
  <c r="B187" i="1" s="1"/>
  <c r="A188" i="1"/>
  <c r="B188" i="1" s="1"/>
  <c r="A189" i="1"/>
  <c r="B189" i="1" s="1"/>
  <c r="A190" i="1"/>
  <c r="B190" i="1" s="1"/>
  <c r="A191" i="1"/>
  <c r="B191" i="1" s="1"/>
  <c r="A192" i="1"/>
  <c r="B192" i="1" s="1"/>
  <c r="A193" i="1"/>
  <c r="B193" i="1" s="1"/>
  <c r="A194" i="1"/>
  <c r="B194" i="1" s="1"/>
  <c r="A195" i="1"/>
  <c r="B195" i="1" s="1"/>
  <c r="A196" i="1"/>
  <c r="B196" i="1" s="1"/>
  <c r="A197" i="1"/>
  <c r="B197" i="1" s="1"/>
  <c r="A198" i="1"/>
  <c r="B198" i="1" s="1"/>
  <c r="A199" i="1"/>
  <c r="B199" i="1" s="1"/>
  <c r="A200" i="1"/>
  <c r="B200" i="1" s="1"/>
  <c r="A201" i="1"/>
  <c r="B201" i="1" s="1"/>
  <c r="A202" i="1"/>
  <c r="B202" i="1" s="1"/>
  <c r="A203" i="1"/>
  <c r="B203" i="1" s="1"/>
  <c r="A204" i="1"/>
  <c r="B204" i="1" s="1"/>
  <c r="A205" i="1"/>
  <c r="B205" i="1" s="1"/>
  <c r="A206" i="1"/>
  <c r="B206" i="1" s="1"/>
  <c r="A207" i="1"/>
  <c r="B207" i="1" s="1"/>
  <c r="A208" i="1"/>
  <c r="B208" i="1" s="1"/>
  <c r="A209" i="1"/>
  <c r="B209" i="1" s="1"/>
  <c r="A210" i="1"/>
  <c r="B210" i="1" s="1"/>
  <c r="A211" i="1"/>
  <c r="B211" i="1" s="1"/>
  <c r="A212" i="1"/>
  <c r="B212" i="1" s="1"/>
  <c r="A213" i="1"/>
  <c r="B213" i="1" s="1"/>
  <c r="A214" i="1"/>
  <c r="B214" i="1" s="1"/>
  <c r="A215" i="1"/>
  <c r="B215" i="1" s="1"/>
  <c r="A216" i="1"/>
  <c r="B216" i="1" s="1"/>
  <c r="A217" i="1"/>
  <c r="B217" i="1" s="1"/>
  <c r="A218" i="1"/>
  <c r="B218" i="1" s="1"/>
  <c r="A219" i="1"/>
  <c r="B219" i="1" s="1"/>
  <c r="A220" i="1"/>
  <c r="B220" i="1" s="1"/>
  <c r="A221" i="1"/>
  <c r="B221" i="1" s="1"/>
  <c r="A222" i="1"/>
  <c r="B222" i="1" s="1"/>
  <c r="A223" i="1"/>
  <c r="B223" i="1" s="1"/>
  <c r="A224" i="1"/>
  <c r="B224" i="1" s="1"/>
  <c r="A225" i="1"/>
  <c r="B225" i="1" s="1"/>
  <c r="A226" i="1"/>
  <c r="B226" i="1" s="1"/>
  <c r="A227" i="1"/>
  <c r="B227" i="1" s="1"/>
  <c r="A228" i="1"/>
  <c r="B228" i="1" s="1"/>
  <c r="A229" i="1"/>
  <c r="B229" i="1" s="1"/>
  <c r="A230" i="1"/>
  <c r="B230" i="1" s="1"/>
  <c r="A231" i="1"/>
  <c r="B231" i="1" s="1"/>
  <c r="A232" i="1"/>
  <c r="B232" i="1" s="1"/>
  <c r="A233" i="1"/>
  <c r="B233" i="1" s="1"/>
  <c r="A234" i="1"/>
  <c r="B234" i="1" s="1"/>
  <c r="A235" i="1"/>
  <c r="B235" i="1" s="1"/>
  <c r="A236" i="1"/>
  <c r="B236" i="1" s="1"/>
  <c r="A237" i="1"/>
  <c r="B237" i="1" s="1"/>
  <c r="A238" i="1"/>
  <c r="B238" i="1" s="1"/>
  <c r="A239" i="1"/>
  <c r="B239" i="1" s="1"/>
  <c r="A240" i="1"/>
  <c r="B240" i="1" s="1"/>
  <c r="A241" i="1"/>
  <c r="B241" i="1" s="1"/>
  <c r="A242" i="1"/>
  <c r="B242" i="1" s="1"/>
  <c r="A243" i="1"/>
  <c r="B243" i="1" s="1"/>
  <c r="A244" i="1"/>
  <c r="B244" i="1" s="1"/>
  <c r="A245" i="1"/>
  <c r="B245" i="1" s="1"/>
  <c r="A246" i="1"/>
  <c r="B246" i="1" s="1"/>
  <c r="A247" i="1"/>
  <c r="B247" i="1" s="1"/>
  <c r="A248" i="1"/>
  <c r="B248" i="1" s="1"/>
  <c r="A249" i="1"/>
  <c r="B249" i="1" s="1"/>
  <c r="A250" i="1"/>
  <c r="B250" i="1" s="1"/>
  <c r="A251" i="1"/>
  <c r="B251" i="1" s="1"/>
  <c r="A252" i="1"/>
  <c r="B252" i="1" s="1"/>
  <c r="A253" i="1"/>
  <c r="B253" i="1" s="1"/>
  <c r="A254" i="1"/>
  <c r="B254" i="1" s="1"/>
  <c r="A255" i="1"/>
  <c r="B255" i="1" s="1"/>
  <c r="A256" i="1"/>
  <c r="B256" i="1" s="1"/>
  <c r="A257" i="1"/>
  <c r="B257" i="1" s="1"/>
  <c r="A258" i="1"/>
  <c r="B258" i="1" s="1"/>
  <c r="A259" i="1"/>
  <c r="B259" i="1" s="1"/>
  <c r="A260" i="1"/>
  <c r="B260" i="1" s="1"/>
  <c r="A261" i="1"/>
  <c r="B261" i="1" s="1"/>
  <c r="A262" i="1"/>
  <c r="B262" i="1" s="1"/>
  <c r="A263" i="1"/>
  <c r="B263" i="1" s="1"/>
  <c r="A264" i="1"/>
  <c r="B264" i="1" s="1"/>
  <c r="A265" i="1"/>
  <c r="B265" i="1" s="1"/>
  <c r="A266" i="1"/>
  <c r="B266" i="1" s="1"/>
  <c r="A267" i="1"/>
  <c r="B267" i="1" s="1"/>
  <c r="A268" i="1"/>
  <c r="B268" i="1" s="1"/>
  <c r="A269" i="1"/>
  <c r="B269" i="1" s="1"/>
  <c r="A270" i="1"/>
  <c r="B270" i="1" s="1"/>
  <c r="A271" i="1"/>
  <c r="B271" i="1" s="1"/>
  <c r="A272" i="1"/>
  <c r="B272" i="1" s="1"/>
  <c r="A273" i="1"/>
  <c r="B273" i="1" s="1"/>
  <c r="A274" i="1"/>
  <c r="B274" i="1" s="1"/>
  <c r="A275" i="1"/>
  <c r="B275" i="1" s="1"/>
  <c r="A276" i="1"/>
  <c r="B276" i="1" s="1"/>
  <c r="A277" i="1"/>
  <c r="B277" i="1" s="1"/>
  <c r="A278" i="1"/>
  <c r="B278" i="1" s="1"/>
  <c r="A279" i="1"/>
  <c r="B279" i="1" s="1"/>
  <c r="A280" i="1"/>
  <c r="B280" i="1" s="1"/>
  <c r="A281" i="1"/>
  <c r="B281" i="1" s="1"/>
  <c r="A282" i="1"/>
  <c r="B282" i="1" s="1"/>
  <c r="A283" i="1"/>
  <c r="B283" i="1" s="1"/>
  <c r="A284" i="1"/>
  <c r="B284" i="1" s="1"/>
  <c r="A285" i="1"/>
  <c r="B285" i="1" s="1"/>
  <c r="A286" i="1"/>
  <c r="B286" i="1" s="1"/>
  <c r="A287" i="1"/>
  <c r="B287" i="1" s="1"/>
  <c r="A288" i="1"/>
  <c r="B288" i="1" s="1"/>
  <c r="A289" i="1"/>
  <c r="B289" i="1" s="1"/>
  <c r="A290" i="1"/>
  <c r="B290" i="1" s="1"/>
  <c r="A291" i="1"/>
  <c r="B291" i="1" s="1"/>
  <c r="A292" i="1"/>
  <c r="B292" i="1" s="1"/>
  <c r="A293" i="1"/>
  <c r="B293" i="1" s="1"/>
  <c r="A294" i="1"/>
  <c r="B294" i="1" s="1"/>
  <c r="A295" i="1"/>
  <c r="B295" i="1" s="1"/>
  <c r="A296" i="1"/>
  <c r="B296" i="1" s="1"/>
  <c r="A297" i="1"/>
  <c r="B297" i="1" s="1"/>
  <c r="A298" i="1"/>
  <c r="B298" i="1" s="1"/>
  <c r="A299" i="1"/>
  <c r="B299" i="1" s="1"/>
  <c r="A300" i="1"/>
  <c r="B300" i="1" s="1"/>
  <c r="A301" i="1"/>
  <c r="B301" i="1" s="1"/>
  <c r="A302" i="1"/>
  <c r="B302" i="1" s="1"/>
  <c r="A303" i="1"/>
  <c r="B303" i="1" s="1"/>
  <c r="A304" i="1"/>
  <c r="B304" i="1" s="1"/>
  <c r="A305" i="1"/>
  <c r="B305" i="1" s="1"/>
  <c r="A306" i="1"/>
  <c r="B306" i="1" s="1"/>
  <c r="A307" i="1"/>
  <c r="B307" i="1" s="1"/>
  <c r="A308" i="1"/>
  <c r="B308" i="1" s="1"/>
  <c r="A309" i="1"/>
  <c r="B309" i="1" s="1"/>
  <c r="A310" i="1"/>
  <c r="B310" i="1" s="1"/>
  <c r="A311" i="1"/>
  <c r="B311" i="1" s="1"/>
  <c r="A312" i="1"/>
  <c r="B312" i="1" s="1"/>
  <c r="A313" i="1"/>
  <c r="B313" i="1" s="1"/>
  <c r="A314" i="1"/>
  <c r="B314" i="1" s="1"/>
  <c r="A315" i="1"/>
  <c r="B315" i="1" s="1"/>
  <c r="A316" i="1"/>
  <c r="B316" i="1" s="1"/>
  <c r="A317" i="1"/>
  <c r="B317" i="1" s="1"/>
  <c r="A318" i="1"/>
  <c r="B318" i="1" s="1"/>
  <c r="A319" i="1"/>
  <c r="B319" i="1" s="1"/>
  <c r="A320" i="1"/>
  <c r="B320" i="1" s="1"/>
  <c r="A321" i="1"/>
  <c r="B321" i="1" s="1"/>
  <c r="A322" i="1"/>
  <c r="B322" i="1" s="1"/>
  <c r="A323" i="1"/>
  <c r="B323" i="1" s="1"/>
  <c r="A324" i="1"/>
  <c r="B324" i="1" s="1"/>
  <c r="A325" i="1"/>
  <c r="B325" i="1" s="1"/>
  <c r="A326" i="1"/>
  <c r="B326" i="1" s="1"/>
  <c r="A327" i="1"/>
  <c r="B327" i="1" s="1"/>
  <c r="A328" i="1"/>
  <c r="B328" i="1" s="1"/>
  <c r="A329" i="1"/>
  <c r="B329" i="1" s="1"/>
  <c r="A330" i="1"/>
  <c r="B330" i="1" s="1"/>
  <c r="A331" i="1"/>
  <c r="B331" i="1" s="1"/>
  <c r="A332" i="1"/>
  <c r="B332" i="1" s="1"/>
  <c r="A333" i="1"/>
  <c r="B333" i="1" s="1"/>
  <c r="A334" i="1"/>
  <c r="B334" i="1" s="1"/>
  <c r="A335" i="1"/>
  <c r="B335" i="1" s="1"/>
  <c r="A336" i="1"/>
  <c r="B336" i="1" s="1"/>
  <c r="A337" i="1"/>
  <c r="B337" i="1" s="1"/>
  <c r="A338" i="1"/>
  <c r="B338" i="1" s="1"/>
  <c r="A339" i="1"/>
  <c r="B339" i="1" s="1"/>
  <c r="A340" i="1"/>
  <c r="B340" i="1" s="1"/>
  <c r="A341" i="1"/>
  <c r="B341" i="1" s="1"/>
  <c r="A342" i="1"/>
  <c r="B342" i="1" s="1"/>
  <c r="A343" i="1"/>
  <c r="B343" i="1" s="1"/>
  <c r="A344" i="1"/>
  <c r="B344" i="1" s="1"/>
  <c r="A345" i="1"/>
  <c r="B345" i="1" s="1"/>
  <c r="A346" i="1"/>
  <c r="B346" i="1" s="1"/>
  <c r="A347" i="1"/>
  <c r="B347" i="1" s="1"/>
  <c r="A348" i="1"/>
  <c r="B348" i="1" s="1"/>
  <c r="A349" i="1"/>
  <c r="B349" i="1" s="1"/>
  <c r="A350" i="1"/>
  <c r="B350" i="1" s="1"/>
  <c r="A351" i="1"/>
  <c r="B351" i="1" s="1"/>
  <c r="A352" i="1"/>
  <c r="B352" i="1" s="1"/>
  <c r="A353" i="1"/>
  <c r="B353" i="1" s="1"/>
  <c r="A354" i="1"/>
  <c r="B354" i="1" s="1"/>
  <c r="A355" i="1"/>
  <c r="B355" i="1" s="1"/>
  <c r="A356" i="1"/>
  <c r="B356" i="1" s="1"/>
  <c r="A357" i="1"/>
  <c r="B357" i="1" s="1"/>
  <c r="A358" i="1"/>
  <c r="B358" i="1" s="1"/>
  <c r="A359" i="1"/>
  <c r="B359" i="1" s="1"/>
  <c r="A360" i="1"/>
  <c r="B360" i="1" s="1"/>
  <c r="A361" i="1"/>
  <c r="B361" i="1" s="1"/>
  <c r="A362" i="1"/>
  <c r="B362" i="1" s="1"/>
  <c r="A363" i="1"/>
  <c r="B363" i="1" s="1"/>
  <c r="A364" i="1"/>
  <c r="B364" i="1" s="1"/>
  <c r="A365" i="1"/>
  <c r="B365" i="1" s="1"/>
  <c r="A366" i="1"/>
  <c r="B366" i="1" s="1"/>
  <c r="A367" i="1"/>
  <c r="B367" i="1" s="1"/>
  <c r="A368" i="1"/>
  <c r="B368" i="1" s="1"/>
  <c r="A369" i="1"/>
  <c r="B369" i="1" s="1"/>
  <c r="A370" i="1"/>
  <c r="B370" i="1" s="1"/>
  <c r="A371" i="1"/>
  <c r="B371" i="1" s="1"/>
  <c r="A372" i="1"/>
  <c r="B372" i="1" s="1"/>
  <c r="A373" i="1"/>
  <c r="B373" i="1" s="1"/>
  <c r="A374" i="1"/>
  <c r="B374" i="1" s="1"/>
  <c r="A375" i="1"/>
  <c r="B375" i="1" s="1"/>
  <c r="A376" i="1"/>
  <c r="B376" i="1" s="1"/>
  <c r="A377" i="1"/>
  <c r="B377" i="1" s="1"/>
  <c r="A378" i="1"/>
  <c r="B378" i="1" s="1"/>
  <c r="A379" i="1"/>
  <c r="B379" i="1" s="1"/>
  <c r="A380" i="1"/>
  <c r="B380" i="1" s="1"/>
  <c r="A381" i="1"/>
  <c r="B381" i="1" s="1"/>
  <c r="A382" i="1"/>
  <c r="B382" i="1" s="1"/>
  <c r="A383" i="1"/>
  <c r="B383" i="1" s="1"/>
  <c r="A384" i="1"/>
  <c r="B384" i="1" s="1"/>
  <c r="A385" i="1"/>
  <c r="B385" i="1" s="1"/>
  <c r="A386" i="1"/>
  <c r="B386" i="1" s="1"/>
  <c r="A387" i="1"/>
  <c r="B387" i="1" s="1"/>
  <c r="A388" i="1"/>
  <c r="B388" i="1" s="1"/>
  <c r="A389" i="1"/>
  <c r="B389" i="1" s="1"/>
  <c r="A390" i="1"/>
  <c r="B390" i="1" s="1"/>
  <c r="A391" i="1"/>
  <c r="B391" i="1" s="1"/>
  <c r="A392" i="1"/>
  <c r="B392" i="1" s="1"/>
  <c r="A393" i="1"/>
  <c r="B393" i="1" s="1"/>
  <c r="A394" i="1"/>
  <c r="B394" i="1" s="1"/>
  <c r="A395" i="1"/>
  <c r="B395" i="1" s="1"/>
  <c r="A396" i="1"/>
  <c r="B396" i="1" s="1"/>
  <c r="A397" i="1"/>
  <c r="B397" i="1" s="1"/>
  <c r="A398" i="1"/>
  <c r="B398" i="1" s="1"/>
  <c r="A399" i="1"/>
  <c r="B399" i="1" s="1"/>
  <c r="A400" i="1"/>
  <c r="B400" i="1" s="1"/>
  <c r="A401" i="1"/>
  <c r="B401" i="1" s="1"/>
  <c r="A402" i="1"/>
  <c r="B402" i="1" s="1"/>
  <c r="A403" i="1"/>
  <c r="B403" i="1" s="1"/>
  <c r="A404" i="1"/>
  <c r="B404" i="1" s="1"/>
  <c r="A405" i="1"/>
  <c r="B405" i="1" s="1"/>
  <c r="A406" i="1"/>
  <c r="B406" i="1" s="1"/>
  <c r="A407" i="1"/>
  <c r="B407" i="1" s="1"/>
  <c r="A408" i="1"/>
  <c r="B408" i="1" s="1"/>
  <c r="A409" i="1"/>
  <c r="B409" i="1" s="1"/>
  <c r="A410" i="1"/>
  <c r="B410" i="1" s="1"/>
  <c r="A411" i="1"/>
  <c r="B411" i="1" s="1"/>
  <c r="A412" i="1"/>
  <c r="B412" i="1" s="1"/>
  <c r="A413" i="1"/>
  <c r="B413" i="1" s="1"/>
  <c r="A414" i="1"/>
  <c r="B414" i="1" s="1"/>
  <c r="A415" i="1"/>
  <c r="B415" i="1" s="1"/>
  <c r="A416" i="1"/>
  <c r="B416" i="1" s="1"/>
  <c r="A417" i="1"/>
  <c r="B417" i="1" s="1"/>
  <c r="A418" i="1"/>
  <c r="B418" i="1" s="1"/>
  <c r="A419" i="1"/>
  <c r="B419" i="1" s="1"/>
  <c r="A420" i="1"/>
  <c r="B420" i="1" s="1"/>
  <c r="A421" i="1"/>
  <c r="B421" i="1" s="1"/>
  <c r="A422" i="1"/>
  <c r="B422" i="1" s="1"/>
  <c r="A423" i="1"/>
  <c r="B423" i="1" s="1"/>
  <c r="A424" i="1"/>
  <c r="B424" i="1" s="1"/>
  <c r="A425" i="1"/>
  <c r="B425" i="1" s="1"/>
  <c r="A426" i="1"/>
  <c r="B426" i="1" s="1"/>
  <c r="A427" i="1"/>
  <c r="B427" i="1" s="1"/>
  <c r="A428" i="1"/>
  <c r="B428" i="1" s="1"/>
  <c r="A429" i="1"/>
  <c r="B429" i="1" s="1"/>
  <c r="A430" i="1"/>
  <c r="B430" i="1" s="1"/>
  <c r="A431" i="1"/>
  <c r="B431" i="1" s="1"/>
  <c r="A432" i="1"/>
  <c r="B432" i="1" s="1"/>
  <c r="A433" i="1"/>
  <c r="B433" i="1" s="1"/>
  <c r="A434" i="1"/>
  <c r="B434" i="1" s="1"/>
  <c r="A435" i="1"/>
  <c r="B435" i="1" s="1"/>
  <c r="A436" i="1"/>
  <c r="B436" i="1" s="1"/>
  <c r="A437" i="1"/>
  <c r="B437" i="1" s="1"/>
  <c r="A438" i="1"/>
  <c r="B438" i="1" s="1"/>
  <c r="A439" i="1"/>
  <c r="B439" i="1" s="1"/>
  <c r="A440" i="1"/>
  <c r="B440" i="1" s="1"/>
  <c r="A441" i="1"/>
  <c r="B441" i="1" s="1"/>
  <c r="A442" i="1"/>
  <c r="B442" i="1" s="1"/>
  <c r="A443" i="1"/>
  <c r="B443" i="1" s="1"/>
  <c r="A444" i="1"/>
  <c r="B444" i="1" s="1"/>
  <c r="A445" i="1"/>
  <c r="B445" i="1" s="1"/>
  <c r="A446" i="1"/>
  <c r="B446" i="1" s="1"/>
  <c r="A447" i="1"/>
  <c r="B447" i="1" s="1"/>
  <c r="A448" i="1"/>
  <c r="B448" i="1" s="1"/>
  <c r="A449" i="1"/>
  <c r="B449" i="1" s="1"/>
  <c r="A450" i="1"/>
  <c r="B450" i="1" s="1"/>
  <c r="A451" i="1"/>
  <c r="B451" i="1" s="1"/>
  <c r="A452" i="1"/>
  <c r="B452" i="1" s="1"/>
  <c r="A453" i="1"/>
  <c r="B453" i="1" s="1"/>
  <c r="A454" i="1"/>
  <c r="B454" i="1" s="1"/>
  <c r="A455" i="1"/>
  <c r="B455" i="1" s="1"/>
  <c r="A456" i="1"/>
  <c r="B456" i="1" s="1"/>
  <c r="A457" i="1"/>
  <c r="B457" i="1" s="1"/>
  <c r="A458" i="1"/>
  <c r="B458" i="1" s="1"/>
  <c r="A459" i="1"/>
  <c r="B459" i="1" s="1"/>
  <c r="A460" i="1"/>
  <c r="B460" i="1" s="1"/>
  <c r="A461" i="1"/>
  <c r="B461" i="1" s="1"/>
  <c r="A462" i="1"/>
  <c r="B462" i="1" s="1"/>
  <c r="A463" i="1"/>
  <c r="B463" i="1" s="1"/>
  <c r="A464" i="1"/>
  <c r="B464" i="1" s="1"/>
  <c r="A465" i="1"/>
  <c r="B465" i="1" s="1"/>
  <c r="A466" i="1"/>
  <c r="B466" i="1" s="1"/>
  <c r="A467" i="1"/>
  <c r="B467" i="1" s="1"/>
  <c r="A468" i="1"/>
  <c r="B468" i="1" s="1"/>
  <c r="A469" i="1"/>
  <c r="B469" i="1" s="1"/>
  <c r="A470" i="1"/>
  <c r="B470" i="1" s="1"/>
  <c r="A471" i="1"/>
  <c r="B471" i="1" s="1"/>
  <c r="A472" i="1"/>
  <c r="B472" i="1" s="1"/>
  <c r="A473" i="1"/>
  <c r="B473" i="1" s="1"/>
  <c r="A474" i="1"/>
  <c r="B474" i="1" s="1"/>
  <c r="A475" i="1"/>
  <c r="B475" i="1" s="1"/>
  <c r="A476" i="1"/>
  <c r="B476" i="1" s="1"/>
  <c r="A477" i="1"/>
  <c r="B477" i="1" s="1"/>
  <c r="A478" i="1"/>
  <c r="B478" i="1" s="1"/>
  <c r="A479" i="1"/>
  <c r="B479" i="1" s="1"/>
  <c r="A480" i="1"/>
  <c r="B480" i="1" s="1"/>
  <c r="A481" i="1"/>
  <c r="B481" i="1" s="1"/>
  <c r="A482" i="1"/>
  <c r="B482" i="1" s="1"/>
  <c r="A483" i="1"/>
  <c r="B483" i="1" s="1"/>
  <c r="A484" i="1"/>
  <c r="B484" i="1" s="1"/>
  <c r="A485" i="1"/>
  <c r="B485" i="1" s="1"/>
  <c r="A486" i="1"/>
  <c r="B486" i="1" s="1"/>
  <c r="A487" i="1"/>
  <c r="B487" i="1" s="1"/>
  <c r="A488" i="1"/>
  <c r="B488" i="1" s="1"/>
  <c r="A489" i="1"/>
  <c r="B489" i="1" s="1"/>
  <c r="A490" i="1"/>
  <c r="B490" i="1" s="1"/>
  <c r="A491" i="1"/>
  <c r="B491" i="1" s="1"/>
  <c r="A492" i="1"/>
  <c r="B492" i="1" s="1"/>
  <c r="A493" i="1"/>
  <c r="B493" i="1" s="1"/>
  <c r="A494" i="1"/>
  <c r="B494" i="1" s="1"/>
  <c r="A495" i="1"/>
  <c r="B495" i="1" s="1"/>
  <c r="A496" i="1"/>
  <c r="B496" i="1" s="1"/>
  <c r="A497" i="1"/>
  <c r="B497" i="1" s="1"/>
  <c r="A498" i="1"/>
  <c r="B498" i="1" s="1"/>
  <c r="A499" i="1"/>
  <c r="B499" i="1" s="1"/>
  <c r="A500" i="1"/>
  <c r="B500" i="1" s="1"/>
  <c r="A501" i="1"/>
  <c r="B501" i="1" s="1"/>
  <c r="A502" i="1"/>
  <c r="B502" i="1" s="1"/>
  <c r="A503" i="1"/>
  <c r="B503" i="1" s="1"/>
  <c r="A504" i="1"/>
  <c r="B504" i="1" s="1"/>
  <c r="A505" i="1"/>
  <c r="B505" i="1" s="1"/>
  <c r="A506" i="1"/>
  <c r="B506" i="1" s="1"/>
  <c r="A507" i="1"/>
  <c r="B507" i="1" s="1"/>
  <c r="L7" i="1"/>
  <c r="M7" i="1" s="1"/>
  <c r="N7" i="1" s="1"/>
  <c r="J7" i="1"/>
  <c r="K7" i="1" s="1"/>
  <c r="I7" i="1"/>
  <c r="H7" i="1"/>
  <c r="F7" i="1"/>
  <c r="G7" i="1" s="1"/>
  <c r="C7" i="1"/>
  <c r="E7" i="1" s="1"/>
  <c r="A7" i="1"/>
  <c r="B7" i="1" s="1"/>
  <c r="E6" i="2" l="1"/>
  <c r="C71" i="2"/>
  <c r="H71" i="2"/>
  <c r="B71" i="2"/>
  <c r="G71" i="2"/>
  <c r="F71" i="2"/>
  <c r="E71" i="2"/>
  <c r="D71" i="2"/>
  <c r="C48" i="2"/>
  <c r="N48" i="2"/>
  <c r="Z48" i="2"/>
  <c r="Y48" i="2"/>
  <c r="M48" i="2"/>
  <c r="X48" i="2"/>
  <c r="L48" i="2"/>
  <c r="W48" i="2"/>
  <c r="K48" i="2"/>
  <c r="V48" i="2"/>
  <c r="J48" i="2"/>
  <c r="U48" i="2"/>
  <c r="I48" i="2"/>
  <c r="T48" i="2"/>
  <c r="H48" i="2"/>
  <c r="S48" i="2"/>
  <c r="G48" i="2"/>
  <c r="B48" i="2"/>
  <c r="R48" i="2"/>
  <c r="F48" i="2"/>
  <c r="AC48" i="2"/>
  <c r="Q48" i="2"/>
  <c r="E48" i="2"/>
  <c r="AB48" i="2"/>
  <c r="P48" i="2"/>
  <c r="D48" i="2"/>
  <c r="AA48" i="2"/>
  <c r="O48" i="2"/>
  <c r="S8" i="2"/>
  <c r="Q8" i="2"/>
  <c r="P8" i="2"/>
  <c r="AB22" i="2"/>
  <c r="Y22" i="2"/>
  <c r="AA22" i="2"/>
  <c r="T22" i="2"/>
  <c r="Z22" i="2"/>
  <c r="I22" i="2"/>
  <c r="S22" i="2"/>
  <c r="R22" i="2"/>
  <c r="Q22" i="2"/>
  <c r="AC22" i="2"/>
  <c r="P22" i="2"/>
  <c r="O22" i="2"/>
  <c r="N22" i="2"/>
  <c r="M22" i="2"/>
  <c r="L22" i="2"/>
  <c r="X22" i="2"/>
  <c r="D22" i="2"/>
  <c r="W22" i="2"/>
  <c r="K22" i="2"/>
  <c r="V22" i="2"/>
  <c r="J22" i="2"/>
  <c r="U22" i="2"/>
  <c r="H22" i="2"/>
  <c r="G22" i="2"/>
  <c r="F22" i="2"/>
  <c r="E22" i="2"/>
  <c r="B22" i="2"/>
  <c r="C22" i="2"/>
  <c r="N7" i="2"/>
  <c r="M7" i="2"/>
  <c r="L7" i="2"/>
  <c r="K7" i="2"/>
  <c r="J7" i="2"/>
  <c r="I7" i="2"/>
  <c r="H7" i="2"/>
  <c r="F8" i="2"/>
  <c r="E8" i="2"/>
  <c r="B7" i="2"/>
  <c r="C7" i="2"/>
  <c r="Q337" i="1"/>
  <c r="R264" i="1"/>
  <c r="R167" i="1"/>
  <c r="R143" i="1"/>
  <c r="R203" i="1"/>
  <c r="R131" i="1"/>
  <c r="R23" i="1"/>
  <c r="R335" i="1"/>
  <c r="M43" i="1"/>
  <c r="N43" i="1" s="1"/>
  <c r="R43" i="1"/>
  <c r="M79" i="1"/>
  <c r="N79" i="1" s="1"/>
  <c r="R79" i="1"/>
  <c r="R107" i="1"/>
  <c r="Q498" i="1"/>
  <c r="R498" i="1"/>
  <c r="R450" i="1"/>
  <c r="M348" i="1"/>
  <c r="N348" i="1" s="1"/>
  <c r="R348" i="1"/>
  <c r="Q479" i="1"/>
  <c r="R479" i="1"/>
  <c r="M359" i="1"/>
  <c r="N359" i="1" s="1"/>
  <c r="R359" i="1"/>
  <c r="M311" i="1"/>
  <c r="N311" i="1" s="1"/>
  <c r="R311" i="1"/>
  <c r="M59" i="1"/>
  <c r="N59" i="1" s="1"/>
  <c r="R59" i="1"/>
  <c r="R407" i="1"/>
  <c r="M481" i="1"/>
  <c r="N481" i="1" s="1"/>
  <c r="Q481" i="1"/>
  <c r="R481" i="1"/>
  <c r="M336" i="1"/>
  <c r="N336" i="1" s="1"/>
  <c r="R336" i="1"/>
  <c r="M385" i="1"/>
  <c r="R385" i="1"/>
  <c r="M480" i="1"/>
  <c r="N480" i="1" s="1"/>
  <c r="R480" i="1"/>
  <c r="Q480" i="1"/>
  <c r="M432" i="1"/>
  <c r="N432" i="1" s="1"/>
  <c r="R432" i="1"/>
  <c r="M406" i="1"/>
  <c r="N406" i="1" s="1"/>
  <c r="Q406" i="1"/>
  <c r="R216" i="1"/>
  <c r="M74" i="1"/>
  <c r="N74" i="1" s="1"/>
  <c r="Q74" i="1"/>
  <c r="R74" i="1"/>
  <c r="M50" i="1"/>
  <c r="N50" i="1" s="1"/>
  <c r="R50" i="1"/>
  <c r="M505" i="1"/>
  <c r="N505" i="1" s="1"/>
  <c r="Q505" i="1"/>
  <c r="M433" i="1"/>
  <c r="N433" i="1" s="1"/>
  <c r="R433" i="1"/>
  <c r="M253" i="1"/>
  <c r="N253" i="1" s="1"/>
  <c r="R253" i="1"/>
  <c r="Q217" i="1"/>
  <c r="M217" i="1"/>
  <c r="M181" i="1"/>
  <c r="N181" i="1" s="1"/>
  <c r="R181" i="1"/>
  <c r="M109" i="1"/>
  <c r="R109" i="1"/>
  <c r="M49" i="1"/>
  <c r="N49" i="1" s="1"/>
  <c r="R49" i="1"/>
  <c r="Q133" i="1"/>
  <c r="M252" i="1"/>
  <c r="N252" i="1" s="1"/>
  <c r="R252" i="1"/>
  <c r="M144" i="1"/>
  <c r="N144" i="1" s="1"/>
  <c r="R144" i="1"/>
  <c r="M108" i="1"/>
  <c r="N108" i="1" s="1"/>
  <c r="R108" i="1"/>
  <c r="M60" i="1"/>
  <c r="N60" i="1" s="1"/>
  <c r="R60" i="1"/>
  <c r="R469" i="1"/>
  <c r="R277" i="1"/>
  <c r="M506" i="1"/>
  <c r="N506" i="1" s="1"/>
  <c r="Q506" i="1"/>
  <c r="M482" i="1"/>
  <c r="N482" i="1" s="1"/>
  <c r="Q482" i="1"/>
  <c r="R482" i="1"/>
  <c r="M386" i="1"/>
  <c r="N386" i="1" s="1"/>
  <c r="R386" i="1"/>
  <c r="M278" i="1"/>
  <c r="N278" i="1" s="1"/>
  <c r="R278" i="1"/>
  <c r="M230" i="1"/>
  <c r="N230" i="1" s="1"/>
  <c r="Q230" i="1"/>
  <c r="M146" i="1"/>
  <c r="N146" i="1" s="1"/>
  <c r="R146" i="1"/>
  <c r="M265" i="1"/>
  <c r="N265" i="1" s="1"/>
  <c r="Q265" i="1"/>
  <c r="M229" i="1"/>
  <c r="N229" i="1" s="1"/>
  <c r="R229" i="1"/>
  <c r="Q229" i="1"/>
  <c r="M205" i="1"/>
  <c r="N205" i="1" s="1"/>
  <c r="Q205" i="1"/>
  <c r="M145" i="1"/>
  <c r="R145" i="1"/>
  <c r="Q109" i="1"/>
  <c r="R14" i="1"/>
  <c r="R218" i="1"/>
  <c r="R217" i="1"/>
  <c r="R290" i="1"/>
  <c r="R289" i="1"/>
  <c r="Q386" i="1"/>
  <c r="R457" i="1"/>
  <c r="R349" i="1"/>
  <c r="Q367" i="1"/>
  <c r="R367" i="1"/>
  <c r="M19" i="1"/>
  <c r="N19" i="1" s="1"/>
  <c r="R19" i="1"/>
  <c r="O458" i="1"/>
  <c r="P458" i="1" s="1"/>
  <c r="R483" i="1"/>
  <c r="O505" i="1"/>
  <c r="P505" i="1" s="1"/>
  <c r="O493" i="1"/>
  <c r="P493" i="1" s="1"/>
  <c r="O481" i="1"/>
  <c r="P481" i="1" s="1"/>
  <c r="O445" i="1"/>
  <c r="P445" i="1" s="1"/>
  <c r="O409" i="1"/>
  <c r="P409" i="1" s="1"/>
  <c r="O397" i="1"/>
  <c r="P397" i="1" s="1"/>
  <c r="O385" i="1"/>
  <c r="P385" i="1" s="1"/>
  <c r="O361" i="1"/>
  <c r="P361" i="1" s="1"/>
  <c r="O349" i="1"/>
  <c r="P349" i="1" s="1"/>
  <c r="O313" i="1"/>
  <c r="P313" i="1" s="1"/>
  <c r="O289" i="1"/>
  <c r="P289" i="1" s="1"/>
  <c r="O277" i="1"/>
  <c r="O241" i="1"/>
  <c r="P241" i="1" s="1"/>
  <c r="O217" i="1"/>
  <c r="P217" i="1" s="1"/>
  <c r="O205" i="1"/>
  <c r="P205" i="1" s="1"/>
  <c r="O181" i="1"/>
  <c r="P181" i="1" s="1"/>
  <c r="O169" i="1"/>
  <c r="P169" i="1" s="1"/>
  <c r="O145" i="1"/>
  <c r="P145" i="1" s="1"/>
  <c r="O133" i="1"/>
  <c r="P133" i="1" s="1"/>
  <c r="O109" i="1"/>
  <c r="P109" i="1" s="1"/>
  <c r="O97" i="1"/>
  <c r="P97" i="1" s="1"/>
  <c r="O73" i="1"/>
  <c r="P73" i="1" s="1"/>
  <c r="O61" i="1"/>
  <c r="P61" i="1" s="1"/>
  <c r="O37" i="1"/>
  <c r="P37" i="1" s="1"/>
  <c r="O25" i="1"/>
  <c r="P25" i="1" s="1"/>
  <c r="O504" i="1"/>
  <c r="P504" i="1" s="1"/>
  <c r="O492" i="1"/>
  <c r="P492" i="1" s="1"/>
  <c r="O480" i="1"/>
  <c r="P480" i="1" s="1"/>
  <c r="R119" i="1"/>
  <c r="R275" i="1"/>
  <c r="N453" i="1"/>
  <c r="M405" i="1"/>
  <c r="Q405" i="1"/>
  <c r="M463" i="1"/>
  <c r="R463" i="1"/>
  <c r="M415" i="1"/>
  <c r="R415" i="1"/>
  <c r="N391" i="1"/>
  <c r="M331" i="1"/>
  <c r="Q331" i="1"/>
  <c r="Q307" i="1"/>
  <c r="R307" i="1"/>
  <c r="M295" i="1"/>
  <c r="R295" i="1"/>
  <c r="M271" i="1"/>
  <c r="R271" i="1"/>
  <c r="Q211" i="1"/>
  <c r="R211" i="1"/>
  <c r="Q175" i="1"/>
  <c r="R175" i="1"/>
  <c r="Q139" i="1"/>
  <c r="R139" i="1"/>
  <c r="Q103" i="1"/>
  <c r="R103" i="1"/>
  <c r="Q67" i="1"/>
  <c r="R67" i="1"/>
  <c r="Q55" i="1"/>
  <c r="R55" i="1"/>
  <c r="Q31" i="1"/>
  <c r="R31" i="1"/>
  <c r="N486" i="1"/>
  <c r="M438" i="1"/>
  <c r="R438" i="1"/>
  <c r="Q438" i="1"/>
  <c r="M342" i="1"/>
  <c r="R342" i="1"/>
  <c r="Q246" i="1"/>
  <c r="R246" i="1"/>
  <c r="Q210" i="1"/>
  <c r="R210" i="1"/>
  <c r="R391" i="1"/>
  <c r="R163" i="1"/>
  <c r="M341" i="1"/>
  <c r="R341" i="1"/>
  <c r="R53" i="1"/>
  <c r="R198" i="1"/>
  <c r="R331" i="1"/>
  <c r="R499" i="1"/>
  <c r="R197" i="1"/>
  <c r="M15" i="1"/>
  <c r="R15" i="1"/>
  <c r="Q15" i="1"/>
  <c r="M494" i="1"/>
  <c r="R494" i="1"/>
  <c r="M446" i="1"/>
  <c r="Q446" i="1"/>
  <c r="M362" i="1"/>
  <c r="R362" i="1"/>
  <c r="M350" i="1"/>
  <c r="R350" i="1"/>
  <c r="M338" i="1"/>
  <c r="R338" i="1"/>
  <c r="N218" i="1"/>
  <c r="M206" i="1"/>
  <c r="R206" i="1"/>
  <c r="M62" i="1"/>
  <c r="R62" i="1"/>
  <c r="Q145" i="1"/>
  <c r="R506" i="1"/>
  <c r="R374" i="1"/>
  <c r="R134" i="1"/>
  <c r="M504" i="1"/>
  <c r="Q504" i="1"/>
  <c r="M468" i="1"/>
  <c r="R468" i="1"/>
  <c r="M276" i="1"/>
  <c r="Q276" i="1"/>
  <c r="M204" i="1"/>
  <c r="Q204" i="1"/>
  <c r="M192" i="1"/>
  <c r="Q192" i="1"/>
  <c r="M36" i="1"/>
  <c r="R36" i="1"/>
  <c r="Q468" i="1"/>
  <c r="Q301" i="1"/>
  <c r="Q144" i="1"/>
  <c r="R505" i="1"/>
  <c r="R373" i="1"/>
  <c r="R302" i="1"/>
  <c r="R133" i="1"/>
  <c r="M122" i="1"/>
  <c r="R122" i="1"/>
  <c r="Q14" i="1"/>
  <c r="M445" i="1"/>
  <c r="Q445" i="1"/>
  <c r="N349" i="1"/>
  <c r="N337" i="1"/>
  <c r="M325" i="1"/>
  <c r="R325" i="1"/>
  <c r="Q325" i="1"/>
  <c r="M157" i="1"/>
  <c r="Q157" i="1"/>
  <c r="R157" i="1"/>
  <c r="M73" i="1"/>
  <c r="Q73" i="1"/>
  <c r="M61" i="1"/>
  <c r="R61" i="1"/>
  <c r="M37" i="1"/>
  <c r="Q37" i="1"/>
  <c r="Q469" i="1"/>
  <c r="Q277" i="1"/>
  <c r="Q134" i="1"/>
  <c r="R504" i="1"/>
  <c r="R470" i="1"/>
  <c r="R398" i="1"/>
  <c r="R372" i="1"/>
  <c r="R337" i="1"/>
  <c r="R301" i="1"/>
  <c r="R265" i="1"/>
  <c r="R230" i="1"/>
  <c r="M467" i="1"/>
  <c r="R467" i="1"/>
  <c r="R191" i="1"/>
  <c r="R35" i="1"/>
  <c r="O444" i="1"/>
  <c r="P444" i="1" s="1"/>
  <c r="O408" i="1"/>
  <c r="P408" i="1" s="1"/>
  <c r="O396" i="1"/>
  <c r="P396" i="1" s="1"/>
  <c r="O384" i="1"/>
  <c r="P384" i="1" s="1"/>
  <c r="O360" i="1"/>
  <c r="P360" i="1" s="1"/>
  <c r="O348" i="1"/>
  <c r="O312" i="1"/>
  <c r="P312" i="1" s="1"/>
  <c r="O288" i="1"/>
  <c r="P288" i="1" s="1"/>
  <c r="O276" i="1"/>
  <c r="P276" i="1" s="1"/>
  <c r="O240" i="1"/>
  <c r="P240" i="1" s="1"/>
  <c r="O216" i="1"/>
  <c r="O204" i="1"/>
  <c r="P204" i="1" s="1"/>
  <c r="O180" i="1"/>
  <c r="P180" i="1" s="1"/>
  <c r="O168" i="1"/>
  <c r="P168" i="1" s="1"/>
  <c r="O144" i="1"/>
  <c r="O132" i="1"/>
  <c r="P132" i="1" s="1"/>
  <c r="O108" i="1"/>
  <c r="O96" i="1"/>
  <c r="P96" i="1" s="1"/>
  <c r="O72" i="1"/>
  <c r="P72" i="1" s="1"/>
  <c r="M400" i="1"/>
  <c r="Q400" i="1"/>
  <c r="R400" i="1"/>
  <c r="M495" i="1"/>
  <c r="Q495" i="1"/>
  <c r="R495" i="1"/>
  <c r="M459" i="1"/>
  <c r="Q459" i="1"/>
  <c r="R459" i="1"/>
  <c r="M411" i="1"/>
  <c r="R411" i="1"/>
  <c r="Q411" i="1"/>
  <c r="M387" i="1"/>
  <c r="Q387" i="1"/>
  <c r="R387" i="1"/>
  <c r="M363" i="1"/>
  <c r="R363" i="1"/>
  <c r="M315" i="1"/>
  <c r="Q315" i="1"/>
  <c r="R315" i="1"/>
  <c r="M303" i="1"/>
  <c r="R303" i="1"/>
  <c r="M291" i="1"/>
  <c r="Q291" i="1"/>
  <c r="R291" i="1"/>
  <c r="M243" i="1"/>
  <c r="Q243" i="1"/>
  <c r="R243" i="1"/>
  <c r="M219" i="1"/>
  <c r="R219" i="1"/>
  <c r="M75" i="1"/>
  <c r="R75" i="1"/>
  <c r="Q75" i="1"/>
  <c r="Q52" i="1"/>
  <c r="R279" i="1"/>
  <c r="R232" i="1"/>
  <c r="Q232" i="1"/>
  <c r="M448" i="1"/>
  <c r="Q448" i="1"/>
  <c r="R448" i="1"/>
  <c r="M412" i="1"/>
  <c r="R412" i="1"/>
  <c r="Q412" i="1"/>
  <c r="M364" i="1"/>
  <c r="R364" i="1"/>
  <c r="M328" i="1"/>
  <c r="Q328" i="1"/>
  <c r="M304" i="1"/>
  <c r="R304" i="1"/>
  <c r="M268" i="1"/>
  <c r="R268" i="1"/>
  <c r="Q268" i="1"/>
  <c r="M244" i="1"/>
  <c r="Q244" i="1"/>
  <c r="M220" i="1"/>
  <c r="Q220" i="1"/>
  <c r="R220" i="1"/>
  <c r="M184" i="1"/>
  <c r="Q184" i="1"/>
  <c r="M148" i="1"/>
  <c r="Q148" i="1"/>
  <c r="M112" i="1"/>
  <c r="R112" i="1"/>
  <c r="M88" i="1"/>
  <c r="Q88" i="1"/>
  <c r="M64" i="1"/>
  <c r="Q64" i="1"/>
  <c r="R64" i="1"/>
  <c r="M16" i="1"/>
  <c r="Q16" i="1"/>
  <c r="R16" i="1"/>
  <c r="M507" i="1"/>
  <c r="Q507" i="1"/>
  <c r="R507" i="1"/>
  <c r="M399" i="1"/>
  <c r="Q399" i="1"/>
  <c r="R399" i="1"/>
  <c r="M375" i="1"/>
  <c r="Q375" i="1"/>
  <c r="M351" i="1"/>
  <c r="Q351" i="1"/>
  <c r="R351" i="1"/>
  <c r="M207" i="1"/>
  <c r="R207" i="1"/>
  <c r="Q207" i="1"/>
  <c r="M195" i="1"/>
  <c r="R195" i="1"/>
  <c r="M171" i="1"/>
  <c r="R171" i="1"/>
  <c r="M147" i="1"/>
  <c r="Q147" i="1"/>
  <c r="R147" i="1"/>
  <c r="M135" i="1"/>
  <c r="Q135" i="1"/>
  <c r="M123" i="1"/>
  <c r="Q123" i="1"/>
  <c r="R123" i="1"/>
  <c r="M99" i="1"/>
  <c r="Q99" i="1"/>
  <c r="R99" i="1"/>
  <c r="M87" i="1"/>
  <c r="Q87" i="1"/>
  <c r="M51" i="1"/>
  <c r="R51" i="1"/>
  <c r="M27" i="1"/>
  <c r="Q27" i="1"/>
  <c r="R27" i="1"/>
  <c r="R52" i="1"/>
  <c r="Q40" i="1"/>
  <c r="Q484" i="1"/>
  <c r="R135" i="1"/>
  <c r="R88" i="1"/>
  <c r="Q483" i="1"/>
  <c r="R471" i="1"/>
  <c r="R87" i="1"/>
  <c r="R40" i="1"/>
  <c r="Q304" i="1"/>
  <c r="Q112" i="1"/>
  <c r="R244" i="1"/>
  <c r="O51" i="1"/>
  <c r="P51" i="1" s="1"/>
  <c r="R486" i="1"/>
  <c r="R402" i="1"/>
  <c r="M472" i="1"/>
  <c r="Q472" i="1"/>
  <c r="M436" i="1"/>
  <c r="Q436" i="1"/>
  <c r="M388" i="1"/>
  <c r="Q388" i="1"/>
  <c r="M352" i="1"/>
  <c r="Q352" i="1"/>
  <c r="R352" i="1"/>
  <c r="M316" i="1"/>
  <c r="Q316" i="1"/>
  <c r="R316" i="1"/>
  <c r="M280" i="1"/>
  <c r="Q280" i="1"/>
  <c r="M256" i="1"/>
  <c r="Q256" i="1"/>
  <c r="R256" i="1"/>
  <c r="M208" i="1"/>
  <c r="R208" i="1"/>
  <c r="Q208" i="1"/>
  <c r="M136" i="1"/>
  <c r="Q136" i="1"/>
  <c r="M474" i="1"/>
  <c r="R474" i="1"/>
  <c r="M462" i="1"/>
  <c r="R462" i="1"/>
  <c r="M426" i="1"/>
  <c r="Q426" i="1"/>
  <c r="R426" i="1"/>
  <c r="M414" i="1"/>
  <c r="R414" i="1"/>
  <c r="M390" i="1"/>
  <c r="Q390" i="1"/>
  <c r="M378" i="1"/>
  <c r="Q378" i="1"/>
  <c r="R378" i="1"/>
  <c r="M366" i="1"/>
  <c r="R366" i="1"/>
  <c r="M354" i="1"/>
  <c r="R354" i="1"/>
  <c r="M330" i="1"/>
  <c r="R330" i="1"/>
  <c r="Q330" i="1"/>
  <c r="Q318" i="1"/>
  <c r="R318" i="1"/>
  <c r="M306" i="1"/>
  <c r="R306" i="1"/>
  <c r="M294" i="1"/>
  <c r="Q294" i="1"/>
  <c r="Q282" i="1"/>
  <c r="R282" i="1"/>
  <c r="M270" i="1"/>
  <c r="R270" i="1"/>
  <c r="M258" i="1"/>
  <c r="Q258" i="1"/>
  <c r="R258" i="1"/>
  <c r="M234" i="1"/>
  <c r="R234" i="1"/>
  <c r="M222" i="1"/>
  <c r="Q222" i="1"/>
  <c r="R222" i="1"/>
  <c r="M186" i="1"/>
  <c r="Q186" i="1"/>
  <c r="R186" i="1"/>
  <c r="Q174" i="1"/>
  <c r="R174" i="1"/>
  <c r="M162" i="1"/>
  <c r="R162" i="1"/>
  <c r="M150" i="1"/>
  <c r="Q150" i="1"/>
  <c r="Q138" i="1"/>
  <c r="R138" i="1"/>
  <c r="Q126" i="1"/>
  <c r="R126" i="1"/>
  <c r="M114" i="1"/>
  <c r="Q114" i="1"/>
  <c r="R114" i="1"/>
  <c r="M90" i="1"/>
  <c r="Q90" i="1"/>
  <c r="R90" i="1"/>
  <c r="M78" i="1"/>
  <c r="R78" i="1"/>
  <c r="Q78" i="1"/>
  <c r="Q66" i="1"/>
  <c r="R66" i="1"/>
  <c r="M42" i="1"/>
  <c r="R42" i="1"/>
  <c r="Q30" i="1"/>
  <c r="R30" i="1"/>
  <c r="M18" i="1"/>
  <c r="Q18" i="1"/>
  <c r="R18" i="1"/>
  <c r="Q366" i="1"/>
  <c r="R102" i="1"/>
  <c r="M496" i="1"/>
  <c r="Q496" i="1"/>
  <c r="R496" i="1"/>
  <c r="M460" i="1"/>
  <c r="Q460" i="1"/>
  <c r="R460" i="1"/>
  <c r="M424" i="1"/>
  <c r="Q424" i="1"/>
  <c r="M376" i="1"/>
  <c r="Q376" i="1"/>
  <c r="M340" i="1"/>
  <c r="Q340" i="1"/>
  <c r="M292" i="1"/>
  <c r="Q292" i="1"/>
  <c r="M196" i="1"/>
  <c r="Q196" i="1"/>
  <c r="M172" i="1"/>
  <c r="R172" i="1"/>
  <c r="M160" i="1"/>
  <c r="Q160" i="1"/>
  <c r="R160" i="1"/>
  <c r="M124" i="1"/>
  <c r="Q124" i="1"/>
  <c r="R124" i="1"/>
  <c r="M100" i="1"/>
  <c r="Q100" i="1"/>
  <c r="M76" i="1"/>
  <c r="R76" i="1"/>
  <c r="Q76" i="1"/>
  <c r="M28" i="1"/>
  <c r="Q28" i="1"/>
  <c r="R28" i="1"/>
  <c r="Q364" i="1"/>
  <c r="R328" i="1"/>
  <c r="M497" i="1"/>
  <c r="Q497" i="1"/>
  <c r="R497" i="1"/>
  <c r="M485" i="1"/>
  <c r="Q485" i="1"/>
  <c r="M473" i="1"/>
  <c r="R473" i="1"/>
  <c r="M461" i="1"/>
  <c r="R461" i="1"/>
  <c r="M449" i="1"/>
  <c r="Q449" i="1"/>
  <c r="R449" i="1"/>
  <c r="M437" i="1"/>
  <c r="Q437" i="1"/>
  <c r="M425" i="1"/>
  <c r="Q425" i="1"/>
  <c r="R425" i="1"/>
  <c r="M413" i="1"/>
  <c r="R413" i="1"/>
  <c r="M401" i="1"/>
  <c r="Q401" i="1"/>
  <c r="R401" i="1"/>
  <c r="M389" i="1"/>
  <c r="Q389" i="1"/>
  <c r="M377" i="1"/>
  <c r="Q377" i="1"/>
  <c r="R377" i="1"/>
  <c r="M365" i="1"/>
  <c r="R365" i="1"/>
  <c r="M353" i="1"/>
  <c r="Q353" i="1"/>
  <c r="R353" i="1"/>
  <c r="M329" i="1"/>
  <c r="R329" i="1"/>
  <c r="Q329" i="1"/>
  <c r="M317" i="1"/>
  <c r="Q317" i="1"/>
  <c r="R317" i="1"/>
  <c r="M305" i="1"/>
  <c r="R305" i="1"/>
  <c r="M293" i="1"/>
  <c r="Q293" i="1"/>
  <c r="M281" i="1"/>
  <c r="Q281" i="1"/>
  <c r="R281" i="1"/>
  <c r="M269" i="1"/>
  <c r="R269" i="1"/>
  <c r="M257" i="1"/>
  <c r="Q257" i="1"/>
  <c r="R257" i="1"/>
  <c r="M245" i="1"/>
  <c r="Q245" i="1"/>
  <c r="M233" i="1"/>
  <c r="R233" i="1"/>
  <c r="M221" i="1"/>
  <c r="Q221" i="1"/>
  <c r="R221" i="1"/>
  <c r="M209" i="1"/>
  <c r="Q209" i="1"/>
  <c r="R209" i="1"/>
  <c r="M185" i="1"/>
  <c r="Q185" i="1"/>
  <c r="R185" i="1"/>
  <c r="M173" i="1"/>
  <c r="Q173" i="1"/>
  <c r="R173" i="1"/>
  <c r="M161" i="1"/>
  <c r="R161" i="1"/>
  <c r="M149" i="1"/>
  <c r="Q149" i="1"/>
  <c r="M137" i="1"/>
  <c r="R137" i="1"/>
  <c r="Q137" i="1"/>
  <c r="M125" i="1"/>
  <c r="R125" i="1"/>
  <c r="M113" i="1"/>
  <c r="R113" i="1"/>
  <c r="M101" i="1"/>
  <c r="Q101" i="1"/>
  <c r="M89" i="1"/>
  <c r="Q89" i="1"/>
  <c r="R89" i="1"/>
  <c r="M77" i="1"/>
  <c r="Q77" i="1"/>
  <c r="R77" i="1"/>
  <c r="M65" i="1"/>
  <c r="Q65" i="1"/>
  <c r="R65" i="1"/>
  <c r="M41" i="1"/>
  <c r="R41" i="1"/>
  <c r="M29" i="1"/>
  <c r="Q29" i="1"/>
  <c r="R29" i="1"/>
  <c r="M17" i="1"/>
  <c r="Q17" i="1"/>
  <c r="R17" i="1"/>
  <c r="Q365" i="1"/>
  <c r="Q171" i="1"/>
  <c r="R484" i="1"/>
  <c r="R376" i="1"/>
  <c r="R148" i="1"/>
  <c r="R101" i="1"/>
  <c r="R54" i="1"/>
  <c r="O186" i="1"/>
  <c r="P186" i="1" s="1"/>
  <c r="O496" i="1"/>
  <c r="P496" i="1" s="1"/>
  <c r="O472" i="1"/>
  <c r="P472" i="1" s="1"/>
  <c r="O460" i="1"/>
  <c r="P460" i="1" s="1"/>
  <c r="O448" i="1"/>
  <c r="P448" i="1" s="1"/>
  <c r="O424" i="1"/>
  <c r="P424" i="1" s="1"/>
  <c r="O412" i="1"/>
  <c r="P412" i="1" s="1"/>
  <c r="O400" i="1"/>
  <c r="P400" i="1" s="1"/>
  <c r="O376" i="1"/>
  <c r="P376" i="1" s="1"/>
  <c r="O364" i="1"/>
  <c r="P364" i="1" s="1"/>
  <c r="O352" i="1"/>
  <c r="P352" i="1" s="1"/>
  <c r="O340" i="1"/>
  <c r="P340" i="1" s="1"/>
  <c r="O328" i="1"/>
  <c r="P328" i="1" s="1"/>
  <c r="O316" i="1"/>
  <c r="P316" i="1" s="1"/>
  <c r="O304" i="1"/>
  <c r="P304" i="1" s="1"/>
  <c r="O292" i="1"/>
  <c r="P292" i="1" s="1"/>
  <c r="O280" i="1"/>
  <c r="P280" i="1" s="1"/>
  <c r="O268" i="1"/>
  <c r="P268" i="1" s="1"/>
  <c r="O256" i="1"/>
  <c r="P256" i="1" s="1"/>
  <c r="O244" i="1"/>
  <c r="P244" i="1" s="1"/>
  <c r="O232" i="1"/>
  <c r="O220" i="1"/>
  <c r="P220" i="1" s="1"/>
  <c r="O208" i="1"/>
  <c r="P208" i="1" s="1"/>
  <c r="O196" i="1"/>
  <c r="P196" i="1" s="1"/>
  <c r="O184" i="1"/>
  <c r="P184" i="1" s="1"/>
  <c r="O172" i="1"/>
  <c r="P172" i="1" s="1"/>
  <c r="O160" i="1"/>
  <c r="P160" i="1" s="1"/>
  <c r="O148" i="1"/>
  <c r="P148" i="1" s="1"/>
  <c r="O136" i="1"/>
  <c r="P136" i="1" s="1"/>
  <c r="O124" i="1"/>
  <c r="P124" i="1" s="1"/>
  <c r="O112" i="1"/>
  <c r="P112" i="1" s="1"/>
  <c r="O100" i="1"/>
  <c r="P100" i="1" s="1"/>
  <c r="O88" i="1"/>
  <c r="P88" i="1" s="1"/>
  <c r="O76" i="1"/>
  <c r="P76" i="1" s="1"/>
  <c r="O64" i="1"/>
  <c r="P64" i="1" s="1"/>
  <c r="O52" i="1"/>
  <c r="O40" i="1"/>
  <c r="O28" i="1"/>
  <c r="P28" i="1" s="1"/>
  <c r="O16" i="1"/>
  <c r="P16" i="1" s="1"/>
  <c r="O471" i="1"/>
  <c r="P471" i="1" s="1"/>
  <c r="O339" i="1"/>
  <c r="P339" i="1" s="1"/>
  <c r="O267" i="1"/>
  <c r="P267" i="1" s="1"/>
  <c r="O255" i="1"/>
  <c r="P255" i="1" s="1"/>
  <c r="O243" i="1"/>
  <c r="P243" i="1" s="1"/>
  <c r="O195" i="1"/>
  <c r="P195" i="1" s="1"/>
  <c r="O171" i="1"/>
  <c r="P171" i="1" s="1"/>
  <c r="O159" i="1"/>
  <c r="P159" i="1" s="1"/>
  <c r="O63" i="1"/>
  <c r="P63" i="1" s="1"/>
  <c r="M427" i="1"/>
  <c r="Q427" i="1"/>
  <c r="M223" i="1"/>
  <c r="Q223" i="1"/>
  <c r="M127" i="1"/>
  <c r="Q127" i="1"/>
  <c r="Q290" i="1"/>
  <c r="Q374" i="1"/>
  <c r="Q348" i="1"/>
  <c r="Q289" i="1"/>
  <c r="Q61" i="1"/>
  <c r="R502" i="1"/>
  <c r="R490" i="1"/>
  <c r="R478" i="1"/>
  <c r="R466" i="1"/>
  <c r="R442" i="1"/>
  <c r="R406" i="1"/>
  <c r="R334" i="1"/>
  <c r="R322" i="1"/>
  <c r="R310" i="1"/>
  <c r="R274" i="1"/>
  <c r="R190" i="1"/>
  <c r="R178" i="1"/>
  <c r="R166" i="1"/>
  <c r="R130" i="1"/>
  <c r="R118" i="1"/>
  <c r="R106" i="1"/>
  <c r="R58" i="1"/>
  <c r="R46" i="1"/>
  <c r="R34" i="1"/>
  <c r="R22" i="1"/>
  <c r="Q253" i="1"/>
  <c r="Q349" i="1"/>
  <c r="O162" i="1"/>
  <c r="P162" i="1" s="1"/>
  <c r="Q494" i="1"/>
  <c r="Q457" i="1"/>
  <c r="Q398" i="1"/>
  <c r="Q373" i="1"/>
  <c r="Q216" i="1"/>
  <c r="Q181" i="1"/>
  <c r="Q122" i="1"/>
  <c r="Q60" i="1"/>
  <c r="R465" i="1"/>
  <c r="R453" i="1"/>
  <c r="R417" i="1"/>
  <c r="R405" i="1"/>
  <c r="Q433" i="1"/>
  <c r="Q350" i="1"/>
  <c r="Q252" i="1"/>
  <c r="Q62" i="1"/>
  <c r="O185" i="1"/>
  <c r="P185" i="1" s="1"/>
  <c r="O161" i="1"/>
  <c r="P161" i="1" s="1"/>
  <c r="Q372" i="1"/>
  <c r="Q338" i="1"/>
  <c r="Q146" i="1"/>
  <c r="Q58" i="1"/>
  <c r="M491" i="1"/>
  <c r="Q491" i="1"/>
  <c r="M455" i="1"/>
  <c r="Q455" i="1"/>
  <c r="M383" i="1"/>
  <c r="Q383" i="1"/>
  <c r="M371" i="1"/>
  <c r="Q371" i="1"/>
  <c r="M323" i="1"/>
  <c r="Q323" i="1"/>
  <c r="M251" i="1"/>
  <c r="Q251" i="1"/>
  <c r="M227" i="1"/>
  <c r="Q227" i="1"/>
  <c r="M215" i="1"/>
  <c r="Q215" i="1"/>
  <c r="M179" i="1"/>
  <c r="Q179" i="1"/>
  <c r="M95" i="1"/>
  <c r="Q95" i="1"/>
  <c r="M382" i="1"/>
  <c r="Q382" i="1"/>
  <c r="M358" i="1"/>
  <c r="Q358" i="1"/>
  <c r="M346" i="1"/>
  <c r="Q346" i="1"/>
  <c r="M298" i="1"/>
  <c r="Q298" i="1"/>
  <c r="Q250" i="1"/>
  <c r="M250" i="1"/>
  <c r="M226" i="1"/>
  <c r="Q226" i="1"/>
  <c r="M202" i="1"/>
  <c r="Q202" i="1"/>
  <c r="M94" i="1"/>
  <c r="Q94" i="1"/>
  <c r="M70" i="1"/>
  <c r="Q70" i="1"/>
  <c r="M10" i="1"/>
  <c r="Q10" i="1"/>
  <c r="Q335" i="1"/>
  <c r="M489" i="1"/>
  <c r="Q489" i="1"/>
  <c r="M441" i="1"/>
  <c r="Q441" i="1"/>
  <c r="M393" i="1"/>
  <c r="Q393" i="1"/>
  <c r="M369" i="1"/>
  <c r="Q369" i="1"/>
  <c r="M345" i="1"/>
  <c r="Q345" i="1"/>
  <c r="M321" i="1"/>
  <c r="Q321" i="1"/>
  <c r="M297" i="1"/>
  <c r="Q297" i="1"/>
  <c r="M285" i="1"/>
  <c r="Q285" i="1"/>
  <c r="M261" i="1"/>
  <c r="Q261" i="1"/>
  <c r="M225" i="1"/>
  <c r="Q225" i="1"/>
  <c r="M201" i="1"/>
  <c r="Q201" i="1"/>
  <c r="M177" i="1"/>
  <c r="Q177" i="1"/>
  <c r="M153" i="1"/>
  <c r="Q153" i="1"/>
  <c r="M129" i="1"/>
  <c r="Q129" i="1"/>
  <c r="M105" i="1"/>
  <c r="Q105" i="1"/>
  <c r="M81" i="1"/>
  <c r="Q81" i="1"/>
  <c r="M57" i="1"/>
  <c r="Q57" i="1"/>
  <c r="M33" i="1"/>
  <c r="Q33" i="1"/>
  <c r="M9" i="1"/>
  <c r="Q9" i="1"/>
  <c r="Q359" i="1"/>
  <c r="M488" i="1"/>
  <c r="Q488" i="1"/>
  <c r="M464" i="1"/>
  <c r="Q464" i="1"/>
  <c r="M440" i="1"/>
  <c r="Q440" i="1"/>
  <c r="M416" i="1"/>
  <c r="Q416" i="1"/>
  <c r="M392" i="1"/>
  <c r="Q392" i="1"/>
  <c r="M368" i="1"/>
  <c r="Q368" i="1"/>
  <c r="M344" i="1"/>
  <c r="Q344" i="1"/>
  <c r="M320" i="1"/>
  <c r="Q320" i="1"/>
  <c r="M296" i="1"/>
  <c r="Q296" i="1"/>
  <c r="M272" i="1"/>
  <c r="Q272" i="1"/>
  <c r="M248" i="1"/>
  <c r="Q248" i="1"/>
  <c r="M224" i="1"/>
  <c r="Q224" i="1"/>
  <c r="M200" i="1"/>
  <c r="Q200" i="1"/>
  <c r="M176" i="1"/>
  <c r="Q176" i="1"/>
  <c r="M152" i="1"/>
  <c r="Q152" i="1"/>
  <c r="M140" i="1"/>
  <c r="Q140" i="1"/>
  <c r="M116" i="1"/>
  <c r="Q116" i="1"/>
  <c r="M92" i="1"/>
  <c r="Q92" i="1"/>
  <c r="M68" i="1"/>
  <c r="Q68" i="1"/>
  <c r="M44" i="1"/>
  <c r="Q44" i="1"/>
  <c r="M20" i="1"/>
  <c r="Q20" i="1"/>
  <c r="Q490" i="1"/>
  <c r="Q46" i="1"/>
  <c r="M475" i="1"/>
  <c r="Q475" i="1"/>
  <c r="O451" i="1"/>
  <c r="P451" i="1" s="1"/>
  <c r="M319" i="1"/>
  <c r="Q319" i="1"/>
  <c r="M283" i="1"/>
  <c r="Q283" i="1"/>
  <c r="O247" i="1"/>
  <c r="P247" i="1" s="1"/>
  <c r="M235" i="1"/>
  <c r="Q235" i="1"/>
  <c r="M199" i="1"/>
  <c r="Q199" i="1"/>
  <c r="M91" i="1"/>
  <c r="Q91" i="1"/>
  <c r="M502" i="1"/>
  <c r="Q167" i="1"/>
  <c r="Q22" i="1"/>
  <c r="Q465" i="1"/>
  <c r="Q417" i="1"/>
  <c r="Q247" i="1"/>
  <c r="Q191" i="1"/>
  <c r="Q166" i="1"/>
  <c r="Q19" i="1"/>
  <c r="M310" i="1"/>
  <c r="Q463" i="1"/>
  <c r="Q190" i="1"/>
  <c r="Q143" i="1"/>
  <c r="O500" i="1"/>
  <c r="P500" i="1" s="1"/>
  <c r="O488" i="1"/>
  <c r="P488" i="1" s="1"/>
  <c r="O476" i="1"/>
  <c r="P476" i="1" s="1"/>
  <c r="O464" i="1"/>
  <c r="P464" i="1" s="1"/>
  <c r="O452" i="1"/>
  <c r="P452" i="1" s="1"/>
  <c r="O440" i="1"/>
  <c r="P440" i="1" s="1"/>
  <c r="O428" i="1"/>
  <c r="P428" i="1" s="1"/>
  <c r="O416" i="1"/>
  <c r="P416" i="1" s="1"/>
  <c r="O404" i="1"/>
  <c r="P404" i="1" s="1"/>
  <c r="O392" i="1"/>
  <c r="P392" i="1" s="1"/>
  <c r="O380" i="1"/>
  <c r="P380" i="1" s="1"/>
  <c r="O368" i="1"/>
  <c r="P368" i="1" s="1"/>
  <c r="O356" i="1"/>
  <c r="P356" i="1" s="1"/>
  <c r="O344" i="1"/>
  <c r="P344" i="1" s="1"/>
  <c r="O332" i="1"/>
  <c r="P332" i="1" s="1"/>
  <c r="O320" i="1"/>
  <c r="P320" i="1" s="1"/>
  <c r="O308" i="1"/>
  <c r="P308" i="1" s="1"/>
  <c r="O296" i="1"/>
  <c r="P296" i="1" s="1"/>
  <c r="O284" i="1"/>
  <c r="P284" i="1" s="1"/>
  <c r="O272" i="1"/>
  <c r="P272" i="1" s="1"/>
  <c r="O260" i="1"/>
  <c r="P260" i="1" s="1"/>
  <c r="O248" i="1"/>
  <c r="P248" i="1" s="1"/>
  <c r="O236" i="1"/>
  <c r="P236" i="1" s="1"/>
  <c r="O224" i="1"/>
  <c r="P224" i="1" s="1"/>
  <c r="O212" i="1"/>
  <c r="P212" i="1" s="1"/>
  <c r="O200" i="1"/>
  <c r="P200" i="1" s="1"/>
  <c r="O188" i="1"/>
  <c r="P188" i="1" s="1"/>
  <c r="O176" i="1"/>
  <c r="P176" i="1" s="1"/>
  <c r="O164" i="1"/>
  <c r="P164" i="1" s="1"/>
  <c r="O152" i="1"/>
  <c r="P152" i="1" s="1"/>
  <c r="O140" i="1"/>
  <c r="P140" i="1" s="1"/>
  <c r="O128" i="1"/>
  <c r="P128" i="1" s="1"/>
  <c r="O116" i="1"/>
  <c r="P116" i="1" s="1"/>
  <c r="O104" i="1"/>
  <c r="P104" i="1" s="1"/>
  <c r="O92" i="1"/>
  <c r="P92" i="1" s="1"/>
  <c r="O80" i="1"/>
  <c r="P80" i="1" s="1"/>
  <c r="O68" i="1"/>
  <c r="P68" i="1" s="1"/>
  <c r="O56" i="1"/>
  <c r="P56" i="1" s="1"/>
  <c r="O44" i="1"/>
  <c r="P44" i="1" s="1"/>
  <c r="O32" i="1"/>
  <c r="P32" i="1" s="1"/>
  <c r="O20" i="1"/>
  <c r="P20" i="1" s="1"/>
  <c r="O8" i="1"/>
  <c r="P8" i="1" s="1"/>
  <c r="M492" i="1"/>
  <c r="Q492" i="1"/>
  <c r="M456" i="1"/>
  <c r="Q456" i="1"/>
  <c r="M444" i="1"/>
  <c r="Q444" i="1"/>
  <c r="M420" i="1"/>
  <c r="Q420" i="1"/>
  <c r="M408" i="1"/>
  <c r="Q408" i="1"/>
  <c r="M396" i="1"/>
  <c r="Q396" i="1"/>
  <c r="M384" i="1"/>
  <c r="Q384" i="1"/>
  <c r="M360" i="1"/>
  <c r="Q360" i="1"/>
  <c r="M324" i="1"/>
  <c r="Q324" i="1"/>
  <c r="M312" i="1"/>
  <c r="Q312" i="1"/>
  <c r="M300" i="1"/>
  <c r="Q300" i="1"/>
  <c r="M288" i="1"/>
  <c r="Q288" i="1"/>
  <c r="M240" i="1"/>
  <c r="Q240" i="1"/>
  <c r="M228" i="1"/>
  <c r="Q228" i="1"/>
  <c r="M180" i="1"/>
  <c r="Q180" i="1"/>
  <c r="M168" i="1"/>
  <c r="Q168" i="1"/>
  <c r="M156" i="1"/>
  <c r="Q156" i="1"/>
  <c r="M132" i="1"/>
  <c r="Q132" i="1"/>
  <c r="M120" i="1"/>
  <c r="Q120" i="1"/>
  <c r="M96" i="1"/>
  <c r="Q96" i="1"/>
  <c r="M84" i="1"/>
  <c r="Q84" i="1"/>
  <c r="M72" i="1"/>
  <c r="Q72" i="1"/>
  <c r="M48" i="1"/>
  <c r="Q48" i="1"/>
  <c r="M24" i="1"/>
  <c r="Q24" i="1"/>
  <c r="M12" i="1"/>
  <c r="Q12" i="1"/>
  <c r="M34" i="1"/>
  <c r="Q478" i="1"/>
  <c r="Q451" i="1"/>
  <c r="Q432" i="1"/>
  <c r="Q407" i="1"/>
  <c r="Q264" i="1"/>
  <c r="Q79" i="1"/>
  <c r="Q59" i="1"/>
  <c r="M503" i="1"/>
  <c r="O503" i="1"/>
  <c r="P503" i="1" s="1"/>
  <c r="M443" i="1"/>
  <c r="O443" i="1"/>
  <c r="P443" i="1" s="1"/>
  <c r="O431" i="1"/>
  <c r="P431" i="1" s="1"/>
  <c r="M431" i="1"/>
  <c r="M419" i="1"/>
  <c r="Q419" i="1"/>
  <c r="O395" i="1"/>
  <c r="P395" i="1" s="1"/>
  <c r="Q395" i="1"/>
  <c r="M395" i="1"/>
  <c r="M347" i="1"/>
  <c r="Q347" i="1"/>
  <c r="M299" i="1"/>
  <c r="Q299" i="1"/>
  <c r="M287" i="1"/>
  <c r="Q287" i="1"/>
  <c r="M263" i="1"/>
  <c r="Q263" i="1"/>
  <c r="M239" i="1"/>
  <c r="Q239" i="1"/>
  <c r="M155" i="1"/>
  <c r="Q155" i="1"/>
  <c r="M83" i="1"/>
  <c r="Q83" i="1"/>
  <c r="M71" i="1"/>
  <c r="Q71" i="1"/>
  <c r="M47" i="1"/>
  <c r="Q47" i="1"/>
  <c r="M11" i="1"/>
  <c r="Q11" i="1"/>
  <c r="Q431" i="1"/>
  <c r="Q311" i="1"/>
  <c r="Q131" i="1"/>
  <c r="M454" i="1"/>
  <c r="Q454" i="1"/>
  <c r="M430" i="1"/>
  <c r="Q430" i="1"/>
  <c r="M418" i="1"/>
  <c r="Q418" i="1"/>
  <c r="M394" i="1"/>
  <c r="Q394" i="1"/>
  <c r="M370" i="1"/>
  <c r="Q370" i="1"/>
  <c r="M286" i="1"/>
  <c r="Q286" i="1"/>
  <c r="M262" i="1"/>
  <c r="Q262" i="1"/>
  <c r="M238" i="1"/>
  <c r="Q238" i="1"/>
  <c r="M214" i="1"/>
  <c r="Q214" i="1"/>
  <c r="M154" i="1"/>
  <c r="Q154" i="1"/>
  <c r="M142" i="1"/>
  <c r="Q142" i="1"/>
  <c r="M82" i="1"/>
  <c r="Q82" i="1"/>
  <c r="Q130" i="1"/>
  <c r="Q107" i="1"/>
  <c r="M501" i="1"/>
  <c r="Q501" i="1"/>
  <c r="M477" i="1"/>
  <c r="Q477" i="1"/>
  <c r="M429" i="1"/>
  <c r="Q429" i="1"/>
  <c r="M381" i="1"/>
  <c r="Q381" i="1"/>
  <c r="M357" i="1"/>
  <c r="Q357" i="1"/>
  <c r="M333" i="1"/>
  <c r="Q333" i="1"/>
  <c r="M309" i="1"/>
  <c r="Q309" i="1"/>
  <c r="M273" i="1"/>
  <c r="Q273" i="1"/>
  <c r="M249" i="1"/>
  <c r="Q249" i="1"/>
  <c r="M237" i="1"/>
  <c r="Q237" i="1"/>
  <c r="M213" i="1"/>
  <c r="Q213" i="1"/>
  <c r="M189" i="1"/>
  <c r="Q189" i="1"/>
  <c r="M165" i="1"/>
  <c r="Q165" i="1"/>
  <c r="M141" i="1"/>
  <c r="Q141" i="1"/>
  <c r="M117" i="1"/>
  <c r="Q117" i="1"/>
  <c r="M93" i="1"/>
  <c r="Q93" i="1"/>
  <c r="M69" i="1"/>
  <c r="Q69" i="1"/>
  <c r="M45" i="1"/>
  <c r="Q45" i="1"/>
  <c r="M21" i="1"/>
  <c r="Q21" i="1"/>
  <c r="Q334" i="1"/>
  <c r="Q203" i="1"/>
  <c r="Q106" i="1"/>
  <c r="M500" i="1"/>
  <c r="Q500" i="1"/>
  <c r="M476" i="1"/>
  <c r="Q476" i="1"/>
  <c r="M452" i="1"/>
  <c r="Q452" i="1"/>
  <c r="M428" i="1"/>
  <c r="Q428" i="1"/>
  <c r="M404" i="1"/>
  <c r="Q404" i="1"/>
  <c r="M380" i="1"/>
  <c r="Q380" i="1"/>
  <c r="M356" i="1"/>
  <c r="Q356" i="1"/>
  <c r="M332" i="1"/>
  <c r="Q332" i="1"/>
  <c r="M308" i="1"/>
  <c r="Q308" i="1"/>
  <c r="M284" i="1"/>
  <c r="Q284" i="1"/>
  <c r="M260" i="1"/>
  <c r="Q260" i="1"/>
  <c r="M236" i="1"/>
  <c r="Q236" i="1"/>
  <c r="M212" i="1"/>
  <c r="Q212" i="1"/>
  <c r="M188" i="1"/>
  <c r="Q188" i="1"/>
  <c r="M164" i="1"/>
  <c r="Q164" i="1"/>
  <c r="M128" i="1"/>
  <c r="Q128" i="1"/>
  <c r="M104" i="1"/>
  <c r="Q104" i="1"/>
  <c r="M80" i="1"/>
  <c r="Q80" i="1"/>
  <c r="M56" i="1"/>
  <c r="Q56" i="1"/>
  <c r="M32" i="1"/>
  <c r="Q32" i="1"/>
  <c r="M8" i="1"/>
  <c r="Q8" i="1"/>
  <c r="Q467" i="1"/>
  <c r="Q23" i="1"/>
  <c r="M487" i="1"/>
  <c r="Q487" i="1"/>
  <c r="M439" i="1"/>
  <c r="Q439" i="1"/>
  <c r="O403" i="1"/>
  <c r="P403" i="1" s="1"/>
  <c r="Q403" i="1"/>
  <c r="M379" i="1"/>
  <c r="Q379" i="1"/>
  <c r="M355" i="1"/>
  <c r="Q355" i="1"/>
  <c r="M343" i="1"/>
  <c r="Q343" i="1"/>
  <c r="O307" i="1"/>
  <c r="P307" i="1" s="1"/>
  <c r="M259" i="1"/>
  <c r="Q259" i="1"/>
  <c r="O187" i="1"/>
  <c r="P187" i="1" s="1"/>
  <c r="M151" i="1"/>
  <c r="Q151" i="1"/>
  <c r="M115" i="1"/>
  <c r="Q115" i="1"/>
  <c r="O55" i="1"/>
  <c r="P55" i="1" s="1"/>
  <c r="Q466" i="1"/>
  <c r="Q43" i="1"/>
  <c r="M322" i="1"/>
  <c r="Q443" i="1"/>
  <c r="O347" i="1"/>
  <c r="P347" i="1" s="1"/>
  <c r="Q442" i="1"/>
  <c r="Q415" i="1"/>
  <c r="Q275" i="1"/>
  <c r="Q163" i="1"/>
  <c r="Q119" i="1"/>
  <c r="M274" i="1"/>
  <c r="Q391" i="1"/>
  <c r="Q295" i="1"/>
  <c r="Q187" i="1"/>
  <c r="Q118" i="1"/>
  <c r="Q271" i="1"/>
  <c r="M178" i="1"/>
  <c r="Q503" i="1"/>
  <c r="Q453" i="1"/>
  <c r="Q35" i="1"/>
  <c r="M447" i="1"/>
  <c r="Q447" i="1"/>
  <c r="M435" i="1"/>
  <c r="Q435" i="1"/>
  <c r="M423" i="1"/>
  <c r="Q423" i="1"/>
  <c r="M339" i="1"/>
  <c r="Q339" i="1"/>
  <c r="M327" i="1"/>
  <c r="Q327" i="1"/>
  <c r="M267" i="1"/>
  <c r="Q267" i="1"/>
  <c r="M255" i="1"/>
  <c r="Q255" i="1"/>
  <c r="M231" i="1"/>
  <c r="Q231" i="1"/>
  <c r="M183" i="1"/>
  <c r="Q183" i="1"/>
  <c r="M159" i="1"/>
  <c r="Q159" i="1"/>
  <c r="M111" i="1"/>
  <c r="Q111" i="1"/>
  <c r="M63" i="1"/>
  <c r="Q63" i="1"/>
  <c r="M39" i="1"/>
  <c r="Q39" i="1"/>
  <c r="Q219" i="1"/>
  <c r="Q51" i="1"/>
  <c r="M458" i="1"/>
  <c r="Q458" i="1"/>
  <c r="M434" i="1"/>
  <c r="Q434" i="1"/>
  <c r="M422" i="1"/>
  <c r="Q422" i="1"/>
  <c r="M410" i="1"/>
  <c r="Q410" i="1"/>
  <c r="M326" i="1"/>
  <c r="Q326" i="1"/>
  <c r="M314" i="1"/>
  <c r="Q314" i="1"/>
  <c r="M266" i="1"/>
  <c r="Q266" i="1"/>
  <c r="M254" i="1"/>
  <c r="Q254" i="1"/>
  <c r="M242" i="1"/>
  <c r="Q242" i="1"/>
  <c r="M194" i="1"/>
  <c r="Q194" i="1"/>
  <c r="M182" i="1"/>
  <c r="Q182" i="1"/>
  <c r="M170" i="1"/>
  <c r="Q170" i="1"/>
  <c r="M158" i="1"/>
  <c r="Q158" i="1"/>
  <c r="M110" i="1"/>
  <c r="Q110" i="1"/>
  <c r="M98" i="1"/>
  <c r="Q98" i="1"/>
  <c r="M86" i="1"/>
  <c r="Q86" i="1"/>
  <c r="M38" i="1"/>
  <c r="Q38" i="1"/>
  <c r="M26" i="1"/>
  <c r="Q26" i="1"/>
  <c r="Q471" i="1"/>
  <c r="Q303" i="1"/>
  <c r="Q279" i="1"/>
  <c r="Q218" i="1"/>
  <c r="Q50" i="1"/>
  <c r="M493" i="1"/>
  <c r="Q493" i="1"/>
  <c r="M421" i="1"/>
  <c r="Q421" i="1"/>
  <c r="M409" i="1"/>
  <c r="Q409" i="1"/>
  <c r="M397" i="1"/>
  <c r="Q397" i="1"/>
  <c r="M361" i="1"/>
  <c r="Q361" i="1"/>
  <c r="M313" i="1"/>
  <c r="Q313" i="1"/>
  <c r="M241" i="1"/>
  <c r="Q241" i="1"/>
  <c r="M193" i="1"/>
  <c r="Q193" i="1"/>
  <c r="M169" i="1"/>
  <c r="Q169" i="1"/>
  <c r="M121" i="1"/>
  <c r="Q121" i="1"/>
  <c r="M97" i="1"/>
  <c r="Q97" i="1"/>
  <c r="M85" i="1"/>
  <c r="Q85" i="1"/>
  <c r="M25" i="1"/>
  <c r="Q25" i="1"/>
  <c r="M13" i="1"/>
  <c r="Q13" i="1"/>
  <c r="Q470" i="1"/>
  <c r="Q363" i="1"/>
  <c r="Q302" i="1"/>
  <c r="Q278" i="1"/>
  <c r="Q195" i="1"/>
  <c r="Q49" i="1"/>
  <c r="O506" i="1"/>
  <c r="P506" i="1" s="1"/>
  <c r="O494" i="1"/>
  <c r="P494" i="1" s="1"/>
  <c r="O482" i="1"/>
  <c r="O470" i="1"/>
  <c r="P470" i="1" s="1"/>
  <c r="O446" i="1"/>
  <c r="P446" i="1" s="1"/>
  <c r="O434" i="1"/>
  <c r="P434" i="1" s="1"/>
  <c r="O422" i="1"/>
  <c r="P422" i="1" s="1"/>
  <c r="O410" i="1"/>
  <c r="P410" i="1" s="1"/>
  <c r="O398" i="1"/>
  <c r="O386" i="1"/>
  <c r="O374" i="1"/>
  <c r="P374" i="1" s="1"/>
  <c r="O362" i="1"/>
  <c r="P362" i="1" s="1"/>
  <c r="O350" i="1"/>
  <c r="P350" i="1" s="1"/>
  <c r="O338" i="1"/>
  <c r="P338" i="1" s="1"/>
  <c r="O326" i="1"/>
  <c r="P326" i="1" s="1"/>
  <c r="O314" i="1"/>
  <c r="P314" i="1" s="1"/>
  <c r="O302" i="1"/>
  <c r="O290" i="1"/>
  <c r="P290" i="1" s="1"/>
  <c r="O278" i="1"/>
  <c r="O266" i="1"/>
  <c r="P266" i="1" s="1"/>
  <c r="O254" i="1"/>
  <c r="P254" i="1" s="1"/>
  <c r="O242" i="1"/>
  <c r="P242" i="1" s="1"/>
  <c r="O230" i="1"/>
  <c r="O218" i="1"/>
  <c r="P218" i="1" s="1"/>
  <c r="O206" i="1"/>
  <c r="P206" i="1" s="1"/>
  <c r="O194" i="1"/>
  <c r="P194" i="1" s="1"/>
  <c r="O182" i="1"/>
  <c r="P182" i="1" s="1"/>
  <c r="O170" i="1"/>
  <c r="P170" i="1" s="1"/>
  <c r="O158" i="1"/>
  <c r="P158" i="1" s="1"/>
  <c r="O146" i="1"/>
  <c r="O134" i="1"/>
  <c r="P134" i="1" s="1"/>
  <c r="O122" i="1"/>
  <c r="P122" i="1" s="1"/>
  <c r="O110" i="1"/>
  <c r="P110" i="1" s="1"/>
  <c r="O98" i="1"/>
  <c r="P98" i="1" s="1"/>
  <c r="O86" i="1"/>
  <c r="P86" i="1" s="1"/>
  <c r="O74" i="1"/>
  <c r="P74" i="1" s="1"/>
  <c r="O62" i="1"/>
  <c r="P62" i="1" s="1"/>
  <c r="O50" i="1"/>
  <c r="P50" i="1" s="1"/>
  <c r="O38" i="1"/>
  <c r="P38" i="1" s="1"/>
  <c r="O26" i="1"/>
  <c r="P26" i="1" s="1"/>
  <c r="O14" i="1"/>
  <c r="P14" i="1" s="1"/>
  <c r="O60" i="1"/>
  <c r="P60" i="1" s="1"/>
  <c r="O36" i="1"/>
  <c r="P36" i="1" s="1"/>
  <c r="O24" i="1"/>
  <c r="P24" i="1" s="1"/>
  <c r="Q462" i="1"/>
  <c r="Q342" i="1"/>
  <c r="Q270" i="1"/>
  <c r="Q198" i="1"/>
  <c r="Q54" i="1"/>
  <c r="Q474" i="1"/>
  <c r="Q461" i="1"/>
  <c r="Q341" i="1"/>
  <c r="Q269" i="1"/>
  <c r="Q197" i="1"/>
  <c r="Q125" i="1"/>
  <c r="Q53" i="1"/>
  <c r="O502" i="1"/>
  <c r="P502" i="1" s="1"/>
  <c r="O490" i="1"/>
  <c r="O478" i="1"/>
  <c r="O466" i="1"/>
  <c r="O454" i="1"/>
  <c r="P454" i="1" s="1"/>
  <c r="O442" i="1"/>
  <c r="O430" i="1"/>
  <c r="P430" i="1" s="1"/>
  <c r="O418" i="1"/>
  <c r="P418" i="1" s="1"/>
  <c r="O406" i="1"/>
  <c r="O394" i="1"/>
  <c r="P394" i="1" s="1"/>
  <c r="O382" i="1"/>
  <c r="P382" i="1" s="1"/>
  <c r="O370" i="1"/>
  <c r="P370" i="1" s="1"/>
  <c r="O358" i="1"/>
  <c r="P358" i="1" s="1"/>
  <c r="O346" i="1"/>
  <c r="P346" i="1" s="1"/>
  <c r="O334" i="1"/>
  <c r="O322" i="1"/>
  <c r="P322" i="1" s="1"/>
  <c r="O310" i="1"/>
  <c r="P310" i="1" s="1"/>
  <c r="O298" i="1"/>
  <c r="P298" i="1" s="1"/>
  <c r="O286" i="1"/>
  <c r="P286" i="1" s="1"/>
  <c r="O274" i="1"/>
  <c r="P274" i="1" s="1"/>
  <c r="O262" i="1"/>
  <c r="P262" i="1" s="1"/>
  <c r="O250" i="1"/>
  <c r="P250" i="1" s="1"/>
  <c r="O238" i="1"/>
  <c r="P238" i="1" s="1"/>
  <c r="O226" i="1"/>
  <c r="P226" i="1" s="1"/>
  <c r="O214" i="1"/>
  <c r="P214" i="1" s="1"/>
  <c r="O202" i="1"/>
  <c r="P202" i="1" s="1"/>
  <c r="O190" i="1"/>
  <c r="O178" i="1"/>
  <c r="P178" i="1" s="1"/>
  <c r="O166" i="1"/>
  <c r="P166" i="1" s="1"/>
  <c r="O154" i="1"/>
  <c r="P154" i="1" s="1"/>
  <c r="O142" i="1"/>
  <c r="P142" i="1" s="1"/>
  <c r="O130" i="1"/>
  <c r="O118" i="1"/>
  <c r="O106" i="1"/>
  <c r="O94" i="1"/>
  <c r="P94" i="1" s="1"/>
  <c r="O82" i="1"/>
  <c r="P82" i="1" s="1"/>
  <c r="O70" i="1"/>
  <c r="P70" i="1" s="1"/>
  <c r="O58" i="1"/>
  <c r="O46" i="1"/>
  <c r="O34" i="1"/>
  <c r="P34" i="1" s="1"/>
  <c r="O22" i="1"/>
  <c r="P22" i="1" s="1"/>
  <c r="O10" i="1"/>
  <c r="P10" i="1" s="1"/>
  <c r="Q486" i="1"/>
  <c r="Q473" i="1"/>
  <c r="Q354" i="1"/>
  <c r="O423" i="1"/>
  <c r="P423" i="1" s="1"/>
  <c r="O327" i="1"/>
  <c r="P327" i="1" s="1"/>
  <c r="O147" i="1"/>
  <c r="P147" i="1" s="1"/>
  <c r="O39" i="1"/>
  <c r="P39" i="1" s="1"/>
  <c r="M479" i="1"/>
  <c r="O479" i="1"/>
  <c r="P479" i="1" s="1"/>
  <c r="O495" i="1"/>
  <c r="P495" i="1" s="1"/>
  <c r="O111" i="1"/>
  <c r="P111" i="1" s="1"/>
  <c r="O15" i="1"/>
  <c r="P15" i="1" s="1"/>
  <c r="O507" i="1"/>
  <c r="P507" i="1" s="1"/>
  <c r="O483" i="1"/>
  <c r="P483" i="1" s="1"/>
  <c r="T483" i="1" s="1"/>
  <c r="O459" i="1"/>
  <c r="P459" i="1" s="1"/>
  <c r="O447" i="1"/>
  <c r="P447" i="1" s="1"/>
  <c r="O435" i="1"/>
  <c r="P435" i="1" s="1"/>
  <c r="O411" i="1"/>
  <c r="P411" i="1" s="1"/>
  <c r="O399" i="1"/>
  <c r="P399" i="1" s="1"/>
  <c r="O387" i="1"/>
  <c r="P387" i="1" s="1"/>
  <c r="O375" i="1"/>
  <c r="P375" i="1" s="1"/>
  <c r="O363" i="1"/>
  <c r="P363" i="1" s="1"/>
  <c r="O351" i="1"/>
  <c r="P351" i="1" s="1"/>
  <c r="O315" i="1"/>
  <c r="P315" i="1" s="1"/>
  <c r="O303" i="1"/>
  <c r="P303" i="1" s="1"/>
  <c r="O291" i="1"/>
  <c r="P291" i="1" s="1"/>
  <c r="O279" i="1"/>
  <c r="O231" i="1"/>
  <c r="P231" i="1" s="1"/>
  <c r="O219" i="1"/>
  <c r="P219" i="1" s="1"/>
  <c r="O207" i="1"/>
  <c r="P207" i="1" s="1"/>
  <c r="O183" i="1"/>
  <c r="P183" i="1" s="1"/>
  <c r="O135" i="1"/>
  <c r="P135" i="1" s="1"/>
  <c r="O123" i="1"/>
  <c r="P123" i="1" s="1"/>
  <c r="O99" i="1"/>
  <c r="P99" i="1" s="1"/>
  <c r="O87" i="1"/>
  <c r="P87" i="1" s="1"/>
  <c r="O75" i="1"/>
  <c r="P75" i="1" s="1"/>
  <c r="O27" i="1"/>
  <c r="P27" i="1" s="1"/>
  <c r="O501" i="1"/>
  <c r="P501" i="1" s="1"/>
  <c r="O489" i="1"/>
  <c r="P489" i="1" s="1"/>
  <c r="O477" i="1"/>
  <c r="P477" i="1" s="1"/>
  <c r="O465" i="1"/>
  <c r="O453" i="1"/>
  <c r="P453" i="1" s="1"/>
  <c r="O441" i="1"/>
  <c r="P441" i="1" s="1"/>
  <c r="O429" i="1"/>
  <c r="P429" i="1" s="1"/>
  <c r="O417" i="1"/>
  <c r="O405" i="1"/>
  <c r="P405" i="1" s="1"/>
  <c r="O393" i="1"/>
  <c r="P393" i="1" s="1"/>
  <c r="O381" i="1"/>
  <c r="P381" i="1" s="1"/>
  <c r="O369" i="1"/>
  <c r="P369" i="1" s="1"/>
  <c r="O357" i="1"/>
  <c r="P357" i="1" s="1"/>
  <c r="O345" i="1"/>
  <c r="P345" i="1" s="1"/>
  <c r="O333" i="1"/>
  <c r="P333" i="1" s="1"/>
  <c r="O321" i="1"/>
  <c r="P321" i="1" s="1"/>
  <c r="O309" i="1"/>
  <c r="P309" i="1" s="1"/>
  <c r="O297" i="1"/>
  <c r="P297" i="1" s="1"/>
  <c r="O285" i="1"/>
  <c r="P285" i="1" s="1"/>
  <c r="O273" i="1"/>
  <c r="P273" i="1" s="1"/>
  <c r="O261" i="1"/>
  <c r="P261" i="1" s="1"/>
  <c r="O249" i="1"/>
  <c r="P249" i="1" s="1"/>
  <c r="O237" i="1"/>
  <c r="P237" i="1" s="1"/>
  <c r="O225" i="1"/>
  <c r="P225" i="1" s="1"/>
  <c r="O213" i="1"/>
  <c r="P213" i="1" s="1"/>
  <c r="O201" i="1"/>
  <c r="P201" i="1" s="1"/>
  <c r="O189" i="1"/>
  <c r="P189" i="1" s="1"/>
  <c r="O177" i="1"/>
  <c r="P177" i="1" s="1"/>
  <c r="O165" i="1"/>
  <c r="P165" i="1" s="1"/>
  <c r="O153" i="1"/>
  <c r="P153" i="1" s="1"/>
  <c r="O141" i="1"/>
  <c r="P141" i="1" s="1"/>
  <c r="O129" i="1"/>
  <c r="P129" i="1" s="1"/>
  <c r="O117" i="1"/>
  <c r="P117" i="1" s="1"/>
  <c r="O105" i="1"/>
  <c r="P105" i="1" s="1"/>
  <c r="O93" i="1"/>
  <c r="P93" i="1" s="1"/>
  <c r="O81" i="1"/>
  <c r="P81" i="1" s="1"/>
  <c r="O69" i="1"/>
  <c r="P69" i="1" s="1"/>
  <c r="O57" i="1"/>
  <c r="P57" i="1" s="1"/>
  <c r="O45" i="1"/>
  <c r="P45" i="1" s="1"/>
  <c r="O33" i="1"/>
  <c r="P33" i="1" s="1"/>
  <c r="O21" i="1"/>
  <c r="P21" i="1" s="1"/>
  <c r="O9" i="1"/>
  <c r="P9" i="1" s="1"/>
  <c r="O126" i="1"/>
  <c r="P126" i="1" s="1"/>
  <c r="O491" i="1"/>
  <c r="P491" i="1" s="1"/>
  <c r="O407" i="1"/>
  <c r="O383" i="1"/>
  <c r="P383" i="1" s="1"/>
  <c r="O499" i="1"/>
  <c r="P499" i="1" s="1"/>
  <c r="M499" i="1"/>
  <c r="M367" i="1"/>
  <c r="O367" i="1"/>
  <c r="P367" i="1" s="1"/>
  <c r="M211" i="1"/>
  <c r="O211" i="1"/>
  <c r="P211" i="1" s="1"/>
  <c r="M175" i="1"/>
  <c r="O175" i="1"/>
  <c r="P175" i="1" s="1"/>
  <c r="M139" i="1"/>
  <c r="O139" i="1"/>
  <c r="P139" i="1" s="1"/>
  <c r="M67" i="1"/>
  <c r="O67" i="1"/>
  <c r="P67" i="1" s="1"/>
  <c r="M31" i="1"/>
  <c r="O31" i="1"/>
  <c r="P31" i="1" s="1"/>
  <c r="O463" i="1"/>
  <c r="P463" i="1" s="1"/>
  <c r="O379" i="1"/>
  <c r="P379" i="1" s="1"/>
  <c r="O331" i="1"/>
  <c r="P331" i="1" s="1"/>
  <c r="M450" i="1"/>
  <c r="O450" i="1"/>
  <c r="P450" i="1" s="1"/>
  <c r="M318" i="1"/>
  <c r="O318" i="1"/>
  <c r="P318" i="1" s="1"/>
  <c r="M246" i="1"/>
  <c r="O246" i="1"/>
  <c r="P246" i="1" s="1"/>
  <c r="M210" i="1"/>
  <c r="O210" i="1"/>
  <c r="P210" i="1" s="1"/>
  <c r="M174" i="1"/>
  <c r="O174" i="1"/>
  <c r="P174" i="1" s="1"/>
  <c r="O486" i="1"/>
  <c r="P486" i="1" s="1"/>
  <c r="O462" i="1"/>
  <c r="P462" i="1" s="1"/>
  <c r="O378" i="1"/>
  <c r="P378" i="1" s="1"/>
  <c r="O330" i="1"/>
  <c r="P330" i="1" s="1"/>
  <c r="O235" i="1"/>
  <c r="P235" i="1" s="1"/>
  <c r="O485" i="1"/>
  <c r="P485" i="1" s="1"/>
  <c r="O354" i="1"/>
  <c r="P354" i="1" s="1"/>
  <c r="O306" i="1"/>
  <c r="P306" i="1" s="1"/>
  <c r="O257" i="1"/>
  <c r="P257" i="1" s="1"/>
  <c r="O234" i="1"/>
  <c r="P234" i="1" s="1"/>
  <c r="O401" i="1"/>
  <c r="P401" i="1" s="1"/>
  <c r="O353" i="1"/>
  <c r="P353" i="1" s="1"/>
  <c r="O245" i="1"/>
  <c r="P245" i="1" s="1"/>
  <c r="O209" i="1"/>
  <c r="P209" i="1" s="1"/>
  <c r="O137" i="1"/>
  <c r="P137" i="1" s="1"/>
  <c r="O65" i="1"/>
  <c r="P65" i="1" s="1"/>
  <c r="O415" i="1"/>
  <c r="P415" i="1" s="1"/>
  <c r="O233" i="1"/>
  <c r="P233" i="1" s="1"/>
  <c r="O414" i="1"/>
  <c r="P414" i="1" s="1"/>
  <c r="O127" i="1"/>
  <c r="P127" i="1" s="1"/>
  <c r="O77" i="1"/>
  <c r="P77" i="1" s="1"/>
  <c r="O53" i="1"/>
  <c r="P53" i="1" s="1"/>
  <c r="O437" i="1"/>
  <c r="P437" i="1" s="1"/>
  <c r="O150" i="1"/>
  <c r="P150" i="1" s="1"/>
  <c r="O457" i="1"/>
  <c r="O433" i="1"/>
  <c r="O469" i="1"/>
  <c r="P469" i="1" s="1"/>
  <c r="O373" i="1"/>
  <c r="P373" i="1" s="1"/>
  <c r="O337" i="1"/>
  <c r="P337" i="1" s="1"/>
  <c r="M55" i="1"/>
  <c r="O456" i="1"/>
  <c r="P456" i="1" s="1"/>
  <c r="O432" i="1"/>
  <c r="O390" i="1"/>
  <c r="P390" i="1" s="1"/>
  <c r="O343" i="1"/>
  <c r="P343" i="1" s="1"/>
  <c r="O294" i="1"/>
  <c r="P294" i="1" s="1"/>
  <c r="O198" i="1"/>
  <c r="O19" i="1"/>
  <c r="P19" i="1" s="1"/>
  <c r="O420" i="1"/>
  <c r="P420" i="1" s="1"/>
  <c r="O372" i="1"/>
  <c r="P372" i="1" s="1"/>
  <c r="O300" i="1"/>
  <c r="P300" i="1" s="1"/>
  <c r="O264" i="1"/>
  <c r="O12" i="1"/>
  <c r="P12" i="1" s="1"/>
  <c r="O473" i="1"/>
  <c r="P473" i="1" s="1"/>
  <c r="O319" i="1"/>
  <c r="P319" i="1" s="1"/>
  <c r="O270" i="1"/>
  <c r="P270" i="1" s="1"/>
  <c r="O221" i="1"/>
  <c r="P221" i="1" s="1"/>
  <c r="O18" i="1"/>
  <c r="P18" i="1" s="1"/>
  <c r="O467" i="1"/>
  <c r="P467" i="1" s="1"/>
  <c r="O419" i="1"/>
  <c r="P419" i="1" s="1"/>
  <c r="O371" i="1"/>
  <c r="P371" i="1" s="1"/>
  <c r="O323" i="1"/>
  <c r="P323" i="1" s="1"/>
  <c r="O299" i="1"/>
  <c r="P299" i="1" s="1"/>
  <c r="O275" i="1"/>
  <c r="O251" i="1"/>
  <c r="P251" i="1" s="1"/>
  <c r="O227" i="1"/>
  <c r="P227" i="1" s="1"/>
  <c r="O191" i="1"/>
  <c r="O167" i="1"/>
  <c r="P167" i="1" s="1"/>
  <c r="O143" i="1"/>
  <c r="O119" i="1"/>
  <c r="O95" i="1"/>
  <c r="P95" i="1" s="1"/>
  <c r="O71" i="1"/>
  <c r="P71" i="1" s="1"/>
  <c r="O47" i="1"/>
  <c r="P47" i="1" s="1"/>
  <c r="O23" i="1"/>
  <c r="P23" i="1" s="1"/>
  <c r="O427" i="1"/>
  <c r="P427" i="1" s="1"/>
  <c r="O115" i="1"/>
  <c r="P115" i="1" s="1"/>
  <c r="O17" i="1"/>
  <c r="P17" i="1" s="1"/>
  <c r="M403" i="1"/>
  <c r="M307" i="1"/>
  <c r="O426" i="1"/>
  <c r="P426" i="1" s="1"/>
  <c r="O114" i="1"/>
  <c r="P114" i="1" s="1"/>
  <c r="O90" i="1"/>
  <c r="P90" i="1" s="1"/>
  <c r="M103" i="1"/>
  <c r="O103" i="1"/>
  <c r="P103" i="1" s="1"/>
  <c r="O487" i="1"/>
  <c r="P487" i="1" s="1"/>
  <c r="O259" i="1"/>
  <c r="P259" i="1" s="1"/>
  <c r="M498" i="1"/>
  <c r="O498" i="1"/>
  <c r="P498" i="1" s="1"/>
  <c r="M402" i="1"/>
  <c r="O402" i="1"/>
  <c r="P402" i="1" s="1"/>
  <c r="M282" i="1"/>
  <c r="O282" i="1"/>
  <c r="P282" i="1" s="1"/>
  <c r="M138" i="1"/>
  <c r="O138" i="1"/>
  <c r="P138" i="1" s="1"/>
  <c r="M102" i="1"/>
  <c r="O102" i="1"/>
  <c r="P102" i="1" s="1"/>
  <c r="M66" i="1"/>
  <c r="O66" i="1"/>
  <c r="P66" i="1" s="1"/>
  <c r="M30" i="1"/>
  <c r="O30" i="1"/>
  <c r="P30" i="1" s="1"/>
  <c r="M126" i="1"/>
  <c r="O355" i="1"/>
  <c r="P355" i="1" s="1"/>
  <c r="O258" i="1"/>
  <c r="P258" i="1" s="1"/>
  <c r="M247" i="1"/>
  <c r="O461" i="1"/>
  <c r="P461" i="1" s="1"/>
  <c r="O377" i="1"/>
  <c r="P377" i="1" s="1"/>
  <c r="O329" i="1"/>
  <c r="P329" i="1" s="1"/>
  <c r="O283" i="1"/>
  <c r="P283" i="1" s="1"/>
  <c r="O79" i="1"/>
  <c r="P79" i="1" s="1"/>
  <c r="O497" i="1"/>
  <c r="P497" i="1" s="1"/>
  <c r="O449" i="1"/>
  <c r="P449" i="1" s="1"/>
  <c r="O317" i="1"/>
  <c r="P317" i="1" s="1"/>
  <c r="O281" i="1"/>
  <c r="P281" i="1" s="1"/>
  <c r="O173" i="1"/>
  <c r="P173" i="1" s="1"/>
  <c r="O101" i="1"/>
  <c r="P101" i="1" s="1"/>
  <c r="O29" i="1"/>
  <c r="P29" i="1" s="1"/>
  <c r="O439" i="1"/>
  <c r="P439" i="1" s="1"/>
  <c r="O305" i="1"/>
  <c r="P305" i="1" s="1"/>
  <c r="O78" i="1"/>
  <c r="P78" i="1" s="1"/>
  <c r="O54" i="1"/>
  <c r="P54" i="1" s="1"/>
  <c r="O438" i="1"/>
  <c r="P438" i="1" s="1"/>
  <c r="O151" i="1"/>
  <c r="P151" i="1" s="1"/>
  <c r="M451" i="1"/>
  <c r="O413" i="1"/>
  <c r="P413" i="1" s="1"/>
  <c r="M187" i="1"/>
  <c r="O475" i="1"/>
  <c r="P475" i="1" s="1"/>
  <c r="O391" i="1"/>
  <c r="P391" i="1" s="1"/>
  <c r="O366" i="1"/>
  <c r="P366" i="1" s="1"/>
  <c r="O325" i="1"/>
  <c r="P325" i="1" s="1"/>
  <c r="O295" i="1"/>
  <c r="P295" i="1" s="1"/>
  <c r="O253" i="1"/>
  <c r="P253" i="1" s="1"/>
  <c r="O223" i="1"/>
  <c r="P223" i="1" s="1"/>
  <c r="O199" i="1"/>
  <c r="P199" i="1" s="1"/>
  <c r="O149" i="1"/>
  <c r="P149" i="1" s="1"/>
  <c r="O125" i="1"/>
  <c r="P125" i="1" s="1"/>
  <c r="O421" i="1"/>
  <c r="P421" i="1" s="1"/>
  <c r="O301" i="1"/>
  <c r="O265" i="1"/>
  <c r="O229" i="1"/>
  <c r="O193" i="1"/>
  <c r="P193" i="1" s="1"/>
  <c r="O157" i="1"/>
  <c r="P157" i="1" s="1"/>
  <c r="O121" i="1"/>
  <c r="P121" i="1" s="1"/>
  <c r="O85" i="1"/>
  <c r="P85" i="1" s="1"/>
  <c r="O49" i="1"/>
  <c r="P49" i="1" s="1"/>
  <c r="O13" i="1"/>
  <c r="P13" i="1" s="1"/>
  <c r="O474" i="1"/>
  <c r="P474" i="1" s="1"/>
  <c r="O365" i="1"/>
  <c r="P365" i="1" s="1"/>
  <c r="O324" i="1"/>
  <c r="P324" i="1" s="1"/>
  <c r="O271" i="1"/>
  <c r="P271" i="1" s="1"/>
  <c r="O252" i="1"/>
  <c r="O222" i="1"/>
  <c r="P222" i="1" s="1"/>
  <c r="O43" i="1"/>
  <c r="P43" i="1" s="1"/>
  <c r="O468" i="1"/>
  <c r="P468" i="1" s="1"/>
  <c r="O336" i="1"/>
  <c r="P336" i="1" s="1"/>
  <c r="O228" i="1"/>
  <c r="P228" i="1" s="1"/>
  <c r="O192" i="1"/>
  <c r="P192" i="1" s="1"/>
  <c r="O156" i="1"/>
  <c r="P156" i="1" s="1"/>
  <c r="O120" i="1"/>
  <c r="P120" i="1" s="1"/>
  <c r="O84" i="1"/>
  <c r="P84" i="1" s="1"/>
  <c r="O48" i="1"/>
  <c r="P48" i="1" s="1"/>
  <c r="O455" i="1"/>
  <c r="P455" i="1" s="1"/>
  <c r="O389" i="1"/>
  <c r="P389" i="1" s="1"/>
  <c r="O342" i="1"/>
  <c r="P342" i="1" s="1"/>
  <c r="O293" i="1"/>
  <c r="P293" i="1" s="1"/>
  <c r="O197" i="1"/>
  <c r="O42" i="1"/>
  <c r="P42" i="1" s="1"/>
  <c r="O359" i="1"/>
  <c r="O335" i="1"/>
  <c r="O311" i="1"/>
  <c r="P311" i="1" s="1"/>
  <c r="O287" i="1"/>
  <c r="P287" i="1" s="1"/>
  <c r="O263" i="1"/>
  <c r="P263" i="1" s="1"/>
  <c r="O239" i="1"/>
  <c r="P239" i="1" s="1"/>
  <c r="O215" i="1"/>
  <c r="P215" i="1" s="1"/>
  <c r="O203" i="1"/>
  <c r="O179" i="1"/>
  <c r="P179" i="1" s="1"/>
  <c r="O155" i="1"/>
  <c r="P155" i="1" s="1"/>
  <c r="O131" i="1"/>
  <c r="O107" i="1"/>
  <c r="O83" i="1"/>
  <c r="P83" i="1" s="1"/>
  <c r="O59" i="1"/>
  <c r="O35" i="1"/>
  <c r="P35" i="1" s="1"/>
  <c r="O11" i="1"/>
  <c r="P11" i="1" s="1"/>
  <c r="O341" i="1"/>
  <c r="P341" i="1" s="1"/>
  <c r="O269" i="1"/>
  <c r="P269" i="1" s="1"/>
  <c r="O91" i="1"/>
  <c r="P91" i="1" s="1"/>
  <c r="O41" i="1"/>
  <c r="P41" i="1" s="1"/>
  <c r="O425" i="1"/>
  <c r="P425" i="1" s="1"/>
  <c r="O163" i="1"/>
  <c r="O113" i="1"/>
  <c r="P113" i="1" s="1"/>
  <c r="O89" i="1"/>
  <c r="P89" i="1" s="1"/>
  <c r="O484" i="1"/>
  <c r="O436" i="1"/>
  <c r="P436" i="1" s="1"/>
  <c r="O388" i="1"/>
  <c r="P388" i="1" s="1"/>
  <c r="R7" i="1"/>
  <c r="Q7" i="1"/>
  <c r="O7" i="1"/>
  <c r="E52" i="2" l="1"/>
  <c r="B75" i="2"/>
  <c r="E75" i="2"/>
  <c r="F75" i="2"/>
  <c r="G75" i="2"/>
  <c r="D75" i="2"/>
  <c r="H75" i="2"/>
  <c r="C75" i="2"/>
  <c r="J52" i="2"/>
  <c r="V52" i="2"/>
  <c r="K52" i="2"/>
  <c r="R52" i="2"/>
  <c r="AB52" i="2"/>
  <c r="U52" i="2"/>
  <c r="L52" i="2"/>
  <c r="X52" i="2"/>
  <c r="M52" i="2"/>
  <c r="S52" i="2"/>
  <c r="Y52" i="2"/>
  <c r="Q52" i="2"/>
  <c r="AC52" i="2"/>
  <c r="F52" i="2"/>
  <c r="W52" i="2"/>
  <c r="G52" i="2"/>
  <c r="O52" i="2"/>
  <c r="AA52" i="2"/>
  <c r="H52" i="2"/>
  <c r="Z52" i="2"/>
  <c r="D52" i="2"/>
  <c r="T52" i="2"/>
  <c r="N52" i="2"/>
  <c r="P52" i="2"/>
  <c r="I52" i="2"/>
  <c r="C52" i="2"/>
  <c r="B52" i="2"/>
  <c r="T8" i="2"/>
  <c r="S6" i="2" s="1"/>
  <c r="T22" i="1"/>
  <c r="S481" i="1"/>
  <c r="T35" i="1"/>
  <c r="T374" i="1"/>
  <c r="T133" i="1"/>
  <c r="T134" i="1"/>
  <c r="T391" i="1"/>
  <c r="S391" i="1"/>
  <c r="S277" i="1"/>
  <c r="T43" i="1"/>
  <c r="T349" i="1"/>
  <c r="S43" i="1"/>
  <c r="T469" i="1"/>
  <c r="T311" i="1"/>
  <c r="T290" i="1"/>
  <c r="T205" i="1"/>
  <c r="S217" i="1"/>
  <c r="T74" i="1"/>
  <c r="T336" i="1"/>
  <c r="T372" i="1"/>
  <c r="T23" i="1"/>
  <c r="S166" i="1"/>
  <c r="S22" i="1"/>
  <c r="S133" i="1"/>
  <c r="P277" i="1"/>
  <c r="T277" i="1" s="1"/>
  <c r="T54" i="1"/>
  <c r="T14" i="1"/>
  <c r="S53" i="1"/>
  <c r="T49" i="1"/>
  <c r="S289" i="1"/>
  <c r="S469" i="1"/>
  <c r="T50" i="1"/>
  <c r="N217" i="1"/>
  <c r="T217" i="1" s="1"/>
  <c r="T470" i="1"/>
  <c r="T166" i="1"/>
  <c r="T289" i="1"/>
  <c r="T506" i="1"/>
  <c r="S14" i="1"/>
  <c r="S205" i="1"/>
  <c r="S181" i="1"/>
  <c r="T480" i="1"/>
  <c r="T373" i="1"/>
  <c r="T167" i="1"/>
  <c r="T471" i="1"/>
  <c r="S349" i="1"/>
  <c r="S49" i="1"/>
  <c r="S372" i="1"/>
  <c r="T181" i="1"/>
  <c r="S505" i="1"/>
  <c r="T60" i="1"/>
  <c r="T53" i="1"/>
  <c r="S23" i="1"/>
  <c r="S480" i="1"/>
  <c r="N385" i="1"/>
  <c r="T385" i="1" s="1"/>
  <c r="S385" i="1"/>
  <c r="S486" i="1"/>
  <c r="S311" i="1"/>
  <c r="T337" i="1"/>
  <c r="S218" i="1"/>
  <c r="N145" i="1"/>
  <c r="T145" i="1" s="1"/>
  <c r="S145" i="1"/>
  <c r="T481" i="1"/>
  <c r="T505" i="1"/>
  <c r="S471" i="1"/>
  <c r="S54" i="1"/>
  <c r="N109" i="1"/>
  <c r="T109" i="1" s="1"/>
  <c r="S109" i="1"/>
  <c r="S35" i="1"/>
  <c r="T218" i="1"/>
  <c r="S79" i="1"/>
  <c r="T19" i="1"/>
  <c r="S290" i="1"/>
  <c r="T486" i="1"/>
  <c r="T79" i="1"/>
  <c r="T253" i="1"/>
  <c r="S373" i="1"/>
  <c r="S134" i="1"/>
  <c r="T453" i="1"/>
  <c r="P359" i="1"/>
  <c r="T359" i="1" s="1"/>
  <c r="S359" i="1"/>
  <c r="N102" i="1"/>
  <c r="T102" i="1" s="1"/>
  <c r="S102" i="1"/>
  <c r="N29" i="1"/>
  <c r="T29" i="1" s="1"/>
  <c r="S29" i="1"/>
  <c r="N221" i="1"/>
  <c r="T221" i="1" s="1"/>
  <c r="S221" i="1"/>
  <c r="N281" i="1"/>
  <c r="T281" i="1" s="1"/>
  <c r="S281" i="1"/>
  <c r="N172" i="1"/>
  <c r="T172" i="1" s="1"/>
  <c r="S172" i="1"/>
  <c r="N114" i="1"/>
  <c r="T114" i="1" s="1"/>
  <c r="S114" i="1"/>
  <c r="N256" i="1"/>
  <c r="T256" i="1" s="1"/>
  <c r="S256" i="1"/>
  <c r="N436" i="1"/>
  <c r="T436" i="1" s="1"/>
  <c r="S436" i="1"/>
  <c r="N87" i="1"/>
  <c r="T87" i="1" s="1"/>
  <c r="S87" i="1"/>
  <c r="N244" i="1"/>
  <c r="T244" i="1" s="1"/>
  <c r="S244" i="1"/>
  <c r="N412" i="1"/>
  <c r="T412" i="1" s="1"/>
  <c r="S412" i="1"/>
  <c r="N219" i="1"/>
  <c r="T219" i="1" s="1"/>
  <c r="S219" i="1"/>
  <c r="N122" i="1"/>
  <c r="T122" i="1" s="1"/>
  <c r="S122" i="1"/>
  <c r="N62" i="1"/>
  <c r="T62" i="1" s="1"/>
  <c r="S62" i="1"/>
  <c r="N446" i="1"/>
  <c r="T446" i="1" s="1"/>
  <c r="S446" i="1"/>
  <c r="N272" i="1"/>
  <c r="T272" i="1" s="1"/>
  <c r="S272" i="1"/>
  <c r="N298" i="1"/>
  <c r="T298" i="1" s="1"/>
  <c r="S298" i="1"/>
  <c r="N413" i="1"/>
  <c r="T413" i="1" s="1"/>
  <c r="S413" i="1"/>
  <c r="N460" i="1"/>
  <c r="T460" i="1" s="1"/>
  <c r="S460" i="1"/>
  <c r="N186" i="1"/>
  <c r="T186" i="1" s="1"/>
  <c r="S186" i="1"/>
  <c r="N88" i="1"/>
  <c r="T88" i="1" s="1"/>
  <c r="S88" i="1"/>
  <c r="N363" i="1"/>
  <c r="T363" i="1" s="1"/>
  <c r="S363" i="1"/>
  <c r="P216" i="1"/>
  <c r="T216" i="1" s="1"/>
  <c r="S216" i="1"/>
  <c r="N157" i="1"/>
  <c r="T157" i="1" s="1"/>
  <c r="S157" i="1"/>
  <c r="N36" i="1"/>
  <c r="T36" i="1" s="1"/>
  <c r="S36" i="1"/>
  <c r="N31" i="1"/>
  <c r="T31" i="1" s="1"/>
  <c r="S31" i="1"/>
  <c r="N422" i="1"/>
  <c r="T422" i="1" s="1"/>
  <c r="S422" i="1"/>
  <c r="N259" i="1"/>
  <c r="T259" i="1" s="1"/>
  <c r="S259" i="1"/>
  <c r="N418" i="1"/>
  <c r="T418" i="1" s="1"/>
  <c r="S418" i="1"/>
  <c r="N120" i="1"/>
  <c r="T120" i="1" s="1"/>
  <c r="S120" i="1"/>
  <c r="N345" i="1"/>
  <c r="T345" i="1" s="1"/>
  <c r="S345" i="1"/>
  <c r="N76" i="1"/>
  <c r="T76" i="1" s="1"/>
  <c r="S76" i="1"/>
  <c r="N462" i="1"/>
  <c r="T462" i="1" s="1"/>
  <c r="S462" i="1"/>
  <c r="N280" i="1"/>
  <c r="T280" i="1" s="1"/>
  <c r="S280" i="1"/>
  <c r="N472" i="1"/>
  <c r="T472" i="1" s="1"/>
  <c r="S472" i="1"/>
  <c r="S483" i="1"/>
  <c r="U483" i="1" s="1"/>
  <c r="N445" i="1"/>
  <c r="T445" i="1" s="1"/>
  <c r="S445" i="1"/>
  <c r="N206" i="1"/>
  <c r="T206" i="1" s="1"/>
  <c r="S206" i="1"/>
  <c r="N494" i="1"/>
  <c r="T494" i="1" s="1"/>
  <c r="S494" i="1"/>
  <c r="N260" i="1"/>
  <c r="T260" i="1" s="1"/>
  <c r="S260" i="1"/>
  <c r="N71" i="1"/>
  <c r="T71" i="1" s="1"/>
  <c r="S71" i="1"/>
  <c r="N296" i="1"/>
  <c r="T296" i="1" s="1"/>
  <c r="S296" i="1"/>
  <c r="N491" i="1"/>
  <c r="T491" i="1" s="1"/>
  <c r="S491" i="1"/>
  <c r="N365" i="1"/>
  <c r="T365" i="1" s="1"/>
  <c r="S365" i="1"/>
  <c r="N99" i="1"/>
  <c r="T99" i="1" s="1"/>
  <c r="S99" i="1"/>
  <c r="N195" i="1"/>
  <c r="T195" i="1" s="1"/>
  <c r="S195" i="1"/>
  <c r="N268" i="1"/>
  <c r="T268" i="1" s="1"/>
  <c r="S268" i="1"/>
  <c r="N243" i="1"/>
  <c r="T243" i="1" s="1"/>
  <c r="S243" i="1"/>
  <c r="N192" i="1"/>
  <c r="T192" i="1" s="1"/>
  <c r="S192" i="1"/>
  <c r="N504" i="1"/>
  <c r="T504" i="1" s="1"/>
  <c r="S504" i="1"/>
  <c r="S506" i="1"/>
  <c r="N307" i="1"/>
  <c r="T307" i="1" s="1"/>
  <c r="S307" i="1"/>
  <c r="P407" i="1"/>
  <c r="T407" i="1" s="1"/>
  <c r="S407" i="1"/>
  <c r="P466" i="1"/>
  <c r="T466" i="1" s="1"/>
  <c r="S466" i="1"/>
  <c r="N339" i="1"/>
  <c r="T339" i="1" s="1"/>
  <c r="S339" i="1"/>
  <c r="N238" i="1"/>
  <c r="T238" i="1" s="1"/>
  <c r="S238" i="1"/>
  <c r="N24" i="1"/>
  <c r="T24" i="1" s="1"/>
  <c r="S24" i="1"/>
  <c r="N396" i="1"/>
  <c r="T396" i="1" s="1"/>
  <c r="S396" i="1"/>
  <c r="N225" i="1"/>
  <c r="T225" i="1" s="1"/>
  <c r="S225" i="1"/>
  <c r="N245" i="1"/>
  <c r="T245" i="1" s="1"/>
  <c r="S245" i="1"/>
  <c r="N496" i="1"/>
  <c r="T496" i="1" s="1"/>
  <c r="S496" i="1"/>
  <c r="N387" i="1"/>
  <c r="T387" i="1" s="1"/>
  <c r="S387" i="1"/>
  <c r="P46" i="1"/>
  <c r="T46" i="1" s="1"/>
  <c r="S46" i="1"/>
  <c r="P478" i="1"/>
  <c r="T478" i="1" s="1"/>
  <c r="S478" i="1"/>
  <c r="N428" i="1"/>
  <c r="T428" i="1" s="1"/>
  <c r="S428" i="1"/>
  <c r="N83" i="1"/>
  <c r="T83" i="1" s="1"/>
  <c r="S83" i="1"/>
  <c r="N320" i="1"/>
  <c r="T320" i="1" s="1"/>
  <c r="S320" i="1"/>
  <c r="N251" i="1"/>
  <c r="T251" i="1" s="1"/>
  <c r="S251" i="1"/>
  <c r="N507" i="1"/>
  <c r="T507" i="1" s="1"/>
  <c r="S507" i="1"/>
  <c r="S167" i="1"/>
  <c r="N204" i="1"/>
  <c r="T204" i="1" s="1"/>
  <c r="S204" i="1"/>
  <c r="S374" i="1"/>
  <c r="N126" i="1"/>
  <c r="T126" i="1" s="1"/>
  <c r="S126" i="1"/>
  <c r="N479" i="1"/>
  <c r="T479" i="1" s="1"/>
  <c r="S479" i="1"/>
  <c r="N183" i="1"/>
  <c r="T183" i="1" s="1"/>
  <c r="S183" i="1"/>
  <c r="N333" i="1"/>
  <c r="T333" i="1" s="1"/>
  <c r="S333" i="1"/>
  <c r="N395" i="1"/>
  <c r="T395" i="1" s="1"/>
  <c r="S395" i="1"/>
  <c r="N283" i="1"/>
  <c r="T283" i="1" s="1"/>
  <c r="S283" i="1"/>
  <c r="N393" i="1"/>
  <c r="T393" i="1" s="1"/>
  <c r="S393" i="1"/>
  <c r="N377" i="1"/>
  <c r="T377" i="1" s="1"/>
  <c r="S377" i="1"/>
  <c r="N340" i="1"/>
  <c r="T340" i="1" s="1"/>
  <c r="S340" i="1"/>
  <c r="N234" i="1"/>
  <c r="T234" i="1" s="1"/>
  <c r="S234" i="1"/>
  <c r="N136" i="1"/>
  <c r="T136" i="1" s="1"/>
  <c r="S136" i="1"/>
  <c r="N123" i="1"/>
  <c r="T123" i="1" s="1"/>
  <c r="S123" i="1"/>
  <c r="N207" i="1"/>
  <c r="T207" i="1" s="1"/>
  <c r="S207" i="1"/>
  <c r="N291" i="1"/>
  <c r="T291" i="1" s="1"/>
  <c r="S291" i="1"/>
  <c r="P348" i="1"/>
  <c r="T348" i="1" s="1"/>
  <c r="S348" i="1"/>
  <c r="S470" i="1"/>
  <c r="N338" i="1"/>
  <c r="T338" i="1" s="1"/>
  <c r="S338" i="1"/>
  <c r="N341" i="1"/>
  <c r="T341" i="1" s="1"/>
  <c r="S341" i="1"/>
  <c r="P275" i="1"/>
  <c r="T275" i="1" s="1"/>
  <c r="S275" i="1"/>
  <c r="N318" i="1"/>
  <c r="T318" i="1" s="1"/>
  <c r="S318" i="1"/>
  <c r="N355" i="1"/>
  <c r="T355" i="1" s="1"/>
  <c r="S355" i="1"/>
  <c r="N184" i="1"/>
  <c r="T184" i="1" s="1"/>
  <c r="S184" i="1"/>
  <c r="N328" i="1"/>
  <c r="T328" i="1" s="1"/>
  <c r="S328" i="1"/>
  <c r="N411" i="1"/>
  <c r="T411" i="1" s="1"/>
  <c r="S411" i="1"/>
  <c r="P108" i="1"/>
  <c r="T108" i="1" s="1"/>
  <c r="S108" i="1"/>
  <c r="S50" i="1"/>
  <c r="N276" i="1"/>
  <c r="T276" i="1" s="1"/>
  <c r="S276" i="1"/>
  <c r="N15" i="1"/>
  <c r="T15" i="1" s="1"/>
  <c r="S15" i="1"/>
  <c r="N438" i="1"/>
  <c r="T438" i="1" s="1"/>
  <c r="S438" i="1"/>
  <c r="N498" i="1"/>
  <c r="T498" i="1" s="1"/>
  <c r="S498" i="1"/>
  <c r="N26" i="1"/>
  <c r="T26" i="1" s="1"/>
  <c r="S26" i="1"/>
  <c r="N168" i="1"/>
  <c r="T168" i="1" s="1"/>
  <c r="S168" i="1"/>
  <c r="N135" i="1"/>
  <c r="T135" i="1" s="1"/>
  <c r="S135" i="1"/>
  <c r="P484" i="1"/>
  <c r="T484" i="1" s="1"/>
  <c r="S484" i="1"/>
  <c r="N103" i="1"/>
  <c r="T103" i="1" s="1"/>
  <c r="S103" i="1"/>
  <c r="P130" i="1"/>
  <c r="T130" i="1" s="1"/>
  <c r="S130" i="1"/>
  <c r="N194" i="1"/>
  <c r="T194" i="1" s="1"/>
  <c r="S194" i="1"/>
  <c r="N63" i="1"/>
  <c r="T63" i="1" s="1"/>
  <c r="S63" i="1"/>
  <c r="N117" i="1"/>
  <c r="T117" i="1" s="1"/>
  <c r="S117" i="1"/>
  <c r="N429" i="1"/>
  <c r="T429" i="1" s="1"/>
  <c r="S429" i="1"/>
  <c r="N394" i="1"/>
  <c r="T394" i="1" s="1"/>
  <c r="S394" i="1"/>
  <c r="N96" i="1"/>
  <c r="T96" i="1" s="1"/>
  <c r="S96" i="1"/>
  <c r="N360" i="1"/>
  <c r="T360" i="1" s="1"/>
  <c r="S360" i="1"/>
  <c r="N310" i="1"/>
  <c r="T310" i="1" s="1"/>
  <c r="S310" i="1"/>
  <c r="N177" i="1"/>
  <c r="T177" i="1" s="1"/>
  <c r="S177" i="1"/>
  <c r="P52" i="1"/>
  <c r="T52" i="1" s="1"/>
  <c r="S52" i="1"/>
  <c r="N161" i="1"/>
  <c r="T161" i="1" s="1"/>
  <c r="S161" i="1"/>
  <c r="N426" i="1"/>
  <c r="T426" i="1" s="1"/>
  <c r="S426" i="1"/>
  <c r="P119" i="1"/>
  <c r="T119" i="1" s="1"/>
  <c r="S119" i="1"/>
  <c r="N174" i="1"/>
  <c r="T174" i="1" s="1"/>
  <c r="S174" i="1"/>
  <c r="N499" i="1"/>
  <c r="T499" i="1" s="1"/>
  <c r="S499" i="1"/>
  <c r="P482" i="1"/>
  <c r="T482" i="1" s="1"/>
  <c r="S482" i="1"/>
  <c r="N241" i="1"/>
  <c r="T241" i="1" s="1"/>
  <c r="S241" i="1"/>
  <c r="N439" i="1"/>
  <c r="T439" i="1" s="1"/>
  <c r="S439" i="1"/>
  <c r="N236" i="1"/>
  <c r="T236" i="1" s="1"/>
  <c r="S236" i="1"/>
  <c r="N287" i="1"/>
  <c r="T287" i="1" s="1"/>
  <c r="S287" i="1"/>
  <c r="N416" i="1"/>
  <c r="T416" i="1" s="1"/>
  <c r="S416" i="1"/>
  <c r="N215" i="1"/>
  <c r="T215" i="1" s="1"/>
  <c r="S215" i="1"/>
  <c r="N101" i="1"/>
  <c r="T101" i="1" s="1"/>
  <c r="S101" i="1"/>
  <c r="N473" i="1"/>
  <c r="T473" i="1" s="1"/>
  <c r="S473" i="1"/>
  <c r="N495" i="1"/>
  <c r="T495" i="1" s="1"/>
  <c r="S495" i="1"/>
  <c r="P197" i="1"/>
  <c r="T197" i="1" s="1"/>
  <c r="S197" i="1"/>
  <c r="P442" i="1"/>
  <c r="T442" i="1" s="1"/>
  <c r="S442" i="1"/>
  <c r="N242" i="1"/>
  <c r="T242" i="1" s="1"/>
  <c r="S242" i="1"/>
  <c r="N327" i="1"/>
  <c r="T327" i="1" s="1"/>
  <c r="S327" i="1"/>
  <c r="N178" i="1"/>
  <c r="T178" i="1" s="1"/>
  <c r="S178" i="1"/>
  <c r="N141" i="1"/>
  <c r="T141" i="1" s="1"/>
  <c r="S141" i="1"/>
  <c r="N477" i="1"/>
  <c r="T477" i="1" s="1"/>
  <c r="S477" i="1"/>
  <c r="N443" i="1"/>
  <c r="T443" i="1" s="1"/>
  <c r="S443" i="1"/>
  <c r="N240" i="1"/>
  <c r="T240" i="1" s="1"/>
  <c r="S240" i="1"/>
  <c r="N492" i="1"/>
  <c r="T492" i="1" s="1"/>
  <c r="S492" i="1"/>
  <c r="N57" i="1"/>
  <c r="T57" i="1" s="1"/>
  <c r="S57" i="1"/>
  <c r="N41" i="1"/>
  <c r="T41" i="1" s="1"/>
  <c r="S41" i="1"/>
  <c r="N233" i="1"/>
  <c r="T233" i="1" s="1"/>
  <c r="S233" i="1"/>
  <c r="N196" i="1"/>
  <c r="T196" i="1" s="1"/>
  <c r="S196" i="1"/>
  <c r="N366" i="1"/>
  <c r="T366" i="1" s="1"/>
  <c r="S366" i="1"/>
  <c r="N247" i="1"/>
  <c r="T247" i="1" s="1"/>
  <c r="S247" i="1"/>
  <c r="N210" i="1"/>
  <c r="T210" i="1" s="1"/>
  <c r="S210" i="1"/>
  <c r="N85" i="1"/>
  <c r="T85" i="1" s="1"/>
  <c r="S85" i="1"/>
  <c r="N487" i="1"/>
  <c r="T487" i="1" s="1"/>
  <c r="S487" i="1"/>
  <c r="N404" i="1"/>
  <c r="T404" i="1" s="1"/>
  <c r="S404" i="1"/>
  <c r="N20" i="1"/>
  <c r="T20" i="1" s="1"/>
  <c r="S20" i="1"/>
  <c r="N440" i="1"/>
  <c r="T440" i="1" s="1"/>
  <c r="S440" i="1"/>
  <c r="N346" i="1"/>
  <c r="T346" i="1" s="1"/>
  <c r="S346" i="1"/>
  <c r="P232" i="1"/>
  <c r="T232" i="1" s="1"/>
  <c r="S232" i="1"/>
  <c r="N173" i="1"/>
  <c r="T173" i="1" s="1"/>
  <c r="S173" i="1"/>
  <c r="N448" i="1"/>
  <c r="T448" i="1" s="1"/>
  <c r="S448" i="1"/>
  <c r="N282" i="1"/>
  <c r="T282" i="1" s="1"/>
  <c r="S282" i="1"/>
  <c r="P191" i="1"/>
  <c r="T191" i="1" s="1"/>
  <c r="S191" i="1"/>
  <c r="N67" i="1"/>
  <c r="T67" i="1" s="1"/>
  <c r="S67" i="1"/>
  <c r="N110" i="1"/>
  <c r="T110" i="1" s="1"/>
  <c r="S110" i="1"/>
  <c r="N434" i="1"/>
  <c r="T434" i="1" s="1"/>
  <c r="S434" i="1"/>
  <c r="N21" i="1"/>
  <c r="T21" i="1" s="1"/>
  <c r="S21" i="1"/>
  <c r="N309" i="1"/>
  <c r="T309" i="1" s="1"/>
  <c r="S309" i="1"/>
  <c r="N430" i="1"/>
  <c r="T430" i="1" s="1"/>
  <c r="S430" i="1"/>
  <c r="N132" i="1"/>
  <c r="T132" i="1" s="1"/>
  <c r="S132" i="1"/>
  <c r="N81" i="1"/>
  <c r="T81" i="1" s="1"/>
  <c r="S81" i="1"/>
  <c r="N305" i="1"/>
  <c r="T305" i="1" s="1"/>
  <c r="S305" i="1"/>
  <c r="N100" i="1"/>
  <c r="T100" i="1" s="1"/>
  <c r="S100" i="1"/>
  <c r="N222" i="1"/>
  <c r="T222" i="1" s="1"/>
  <c r="S222" i="1"/>
  <c r="N474" i="1"/>
  <c r="T474" i="1" s="1"/>
  <c r="S474" i="1"/>
  <c r="P203" i="1"/>
  <c r="T203" i="1" s="1"/>
  <c r="S203" i="1"/>
  <c r="P252" i="1"/>
  <c r="T252" i="1" s="1"/>
  <c r="S252" i="1"/>
  <c r="N403" i="1"/>
  <c r="T403" i="1" s="1"/>
  <c r="S403" i="1"/>
  <c r="P190" i="1"/>
  <c r="T190" i="1" s="1"/>
  <c r="S190" i="1"/>
  <c r="N361" i="1"/>
  <c r="T361" i="1" s="1"/>
  <c r="S361" i="1"/>
  <c r="N128" i="1"/>
  <c r="T128" i="1" s="1"/>
  <c r="S128" i="1"/>
  <c r="N347" i="1"/>
  <c r="T347" i="1" s="1"/>
  <c r="S347" i="1"/>
  <c r="N44" i="1"/>
  <c r="T44" i="1" s="1"/>
  <c r="S44" i="1"/>
  <c r="N464" i="1"/>
  <c r="T464" i="1" s="1"/>
  <c r="S464" i="1"/>
  <c r="N358" i="1"/>
  <c r="T358" i="1" s="1"/>
  <c r="S358" i="1"/>
  <c r="N125" i="1"/>
  <c r="T125" i="1" s="1"/>
  <c r="S125" i="1"/>
  <c r="N306" i="1"/>
  <c r="T306" i="1" s="1"/>
  <c r="S306" i="1"/>
  <c r="N304" i="1"/>
  <c r="T304" i="1" s="1"/>
  <c r="S304" i="1"/>
  <c r="N415" i="1"/>
  <c r="T415" i="1" s="1"/>
  <c r="S415" i="1"/>
  <c r="N187" i="1"/>
  <c r="T187" i="1" s="1"/>
  <c r="S187" i="1"/>
  <c r="N402" i="1"/>
  <c r="T402" i="1" s="1"/>
  <c r="S402" i="1"/>
  <c r="N55" i="1"/>
  <c r="T55" i="1" s="1"/>
  <c r="S55" i="1"/>
  <c r="P490" i="1"/>
  <c r="T490" i="1" s="1"/>
  <c r="S490" i="1"/>
  <c r="N266" i="1"/>
  <c r="T266" i="1" s="1"/>
  <c r="S266" i="1"/>
  <c r="N423" i="1"/>
  <c r="T423" i="1" s="1"/>
  <c r="S423" i="1"/>
  <c r="N189" i="1"/>
  <c r="T189" i="1" s="1"/>
  <c r="S189" i="1"/>
  <c r="N262" i="1"/>
  <c r="T262" i="1" s="1"/>
  <c r="S262" i="1"/>
  <c r="N48" i="1"/>
  <c r="T48" i="1" s="1"/>
  <c r="S48" i="1"/>
  <c r="N300" i="1"/>
  <c r="T300" i="1" s="1"/>
  <c r="S300" i="1"/>
  <c r="N261" i="1"/>
  <c r="T261" i="1" s="1"/>
  <c r="S261" i="1"/>
  <c r="N185" i="1"/>
  <c r="T185" i="1" s="1"/>
  <c r="S185" i="1"/>
  <c r="N437" i="1"/>
  <c r="T437" i="1" s="1"/>
  <c r="S437" i="1"/>
  <c r="N78" i="1"/>
  <c r="T78" i="1" s="1"/>
  <c r="S78" i="1"/>
  <c r="P264" i="1"/>
  <c r="T264" i="1" s="1"/>
  <c r="S264" i="1"/>
  <c r="N121" i="1"/>
  <c r="T121" i="1" s="1"/>
  <c r="S121" i="1"/>
  <c r="N164" i="1"/>
  <c r="T164" i="1" s="1"/>
  <c r="S164" i="1"/>
  <c r="N452" i="1"/>
  <c r="T452" i="1" s="1"/>
  <c r="S452" i="1"/>
  <c r="N155" i="1"/>
  <c r="T155" i="1" s="1"/>
  <c r="S155" i="1"/>
  <c r="N200" i="1"/>
  <c r="T200" i="1" s="1"/>
  <c r="S200" i="1"/>
  <c r="N488" i="1"/>
  <c r="T488" i="1" s="1"/>
  <c r="S488" i="1"/>
  <c r="N382" i="1"/>
  <c r="T382" i="1" s="1"/>
  <c r="S382" i="1"/>
  <c r="N257" i="1"/>
  <c r="T257" i="1" s="1"/>
  <c r="S257" i="1"/>
  <c r="N124" i="1"/>
  <c r="T124" i="1" s="1"/>
  <c r="S124" i="1"/>
  <c r="N390" i="1"/>
  <c r="T390" i="1" s="1"/>
  <c r="S390" i="1"/>
  <c r="N463" i="1"/>
  <c r="T463" i="1" s="1"/>
  <c r="S463" i="1"/>
  <c r="N451" i="1"/>
  <c r="T451" i="1" s="1"/>
  <c r="S451" i="1"/>
  <c r="N30" i="1"/>
  <c r="T30" i="1" s="1"/>
  <c r="S30" i="1"/>
  <c r="N170" i="1"/>
  <c r="T170" i="1" s="1"/>
  <c r="S170" i="1"/>
  <c r="N435" i="1"/>
  <c r="T435" i="1" s="1"/>
  <c r="S435" i="1"/>
  <c r="N213" i="1"/>
  <c r="T213" i="1" s="1"/>
  <c r="S213" i="1"/>
  <c r="N82" i="1"/>
  <c r="T82" i="1" s="1"/>
  <c r="S82" i="1"/>
  <c r="N312" i="1"/>
  <c r="T312" i="1" s="1"/>
  <c r="S312" i="1"/>
  <c r="N285" i="1"/>
  <c r="T285" i="1" s="1"/>
  <c r="S285" i="1"/>
  <c r="N137" i="1"/>
  <c r="T137" i="1" s="1"/>
  <c r="S137" i="1"/>
  <c r="N376" i="1"/>
  <c r="T376" i="1" s="1"/>
  <c r="S376" i="1"/>
  <c r="N162" i="1"/>
  <c r="T162" i="1" s="1"/>
  <c r="S162" i="1"/>
  <c r="N27" i="1"/>
  <c r="T27" i="1" s="1"/>
  <c r="S27" i="1"/>
  <c r="N16" i="1"/>
  <c r="T16" i="1" s="1"/>
  <c r="S16" i="1"/>
  <c r="N303" i="1"/>
  <c r="T303" i="1" s="1"/>
  <c r="S303" i="1"/>
  <c r="N325" i="1"/>
  <c r="T325" i="1" s="1"/>
  <c r="S325" i="1"/>
  <c r="S336" i="1"/>
  <c r="N350" i="1"/>
  <c r="T350" i="1" s="1"/>
  <c r="S350" i="1"/>
  <c r="N169" i="1"/>
  <c r="T169" i="1" s="1"/>
  <c r="S169" i="1"/>
  <c r="N115" i="1"/>
  <c r="T115" i="1" s="1"/>
  <c r="S115" i="1"/>
  <c r="N32" i="1"/>
  <c r="T32" i="1" s="1"/>
  <c r="S32" i="1"/>
  <c r="N332" i="1"/>
  <c r="T332" i="1" s="1"/>
  <c r="S332" i="1"/>
  <c r="N239" i="1"/>
  <c r="T239" i="1" s="1"/>
  <c r="S239" i="1"/>
  <c r="N224" i="1"/>
  <c r="T224" i="1" s="1"/>
  <c r="S224" i="1"/>
  <c r="N223" i="1"/>
  <c r="T223" i="1" s="1"/>
  <c r="S223" i="1"/>
  <c r="N209" i="1"/>
  <c r="T209" i="1" s="1"/>
  <c r="S209" i="1"/>
  <c r="N449" i="1"/>
  <c r="T449" i="1" s="1"/>
  <c r="S449" i="1"/>
  <c r="N18" i="1"/>
  <c r="T18" i="1" s="1"/>
  <c r="S18" i="1"/>
  <c r="N258" i="1"/>
  <c r="T258" i="1" s="1"/>
  <c r="S258" i="1"/>
  <c r="N414" i="1"/>
  <c r="T414" i="1" s="1"/>
  <c r="S414" i="1"/>
  <c r="S74" i="1"/>
  <c r="N405" i="1"/>
  <c r="T405" i="1" s="1"/>
  <c r="S405" i="1"/>
  <c r="P433" i="1"/>
  <c r="T433" i="1" s="1"/>
  <c r="S433" i="1"/>
  <c r="N211" i="1"/>
  <c r="T211" i="1" s="1"/>
  <c r="S211" i="1"/>
  <c r="P106" i="1"/>
  <c r="T106" i="1" s="1"/>
  <c r="S106" i="1"/>
  <c r="P146" i="1"/>
  <c r="T146" i="1" s="1"/>
  <c r="S146" i="1"/>
  <c r="N38" i="1"/>
  <c r="T38" i="1" s="1"/>
  <c r="S38" i="1"/>
  <c r="N182" i="1"/>
  <c r="T182" i="1" s="1"/>
  <c r="S182" i="1"/>
  <c r="N326" i="1"/>
  <c r="T326" i="1" s="1"/>
  <c r="S326" i="1"/>
  <c r="N39" i="1"/>
  <c r="T39" i="1" s="1"/>
  <c r="S39" i="1"/>
  <c r="N255" i="1"/>
  <c r="T255" i="1" s="1"/>
  <c r="S255" i="1"/>
  <c r="N447" i="1"/>
  <c r="T447" i="1" s="1"/>
  <c r="S447" i="1"/>
  <c r="N93" i="1"/>
  <c r="T93" i="1" s="1"/>
  <c r="S93" i="1"/>
  <c r="N237" i="1"/>
  <c r="T237" i="1" s="1"/>
  <c r="S237" i="1"/>
  <c r="N381" i="1"/>
  <c r="T381" i="1" s="1"/>
  <c r="S381" i="1"/>
  <c r="N142" i="1"/>
  <c r="T142" i="1" s="1"/>
  <c r="S142" i="1"/>
  <c r="N370" i="1"/>
  <c r="T370" i="1" s="1"/>
  <c r="S370" i="1"/>
  <c r="N419" i="1"/>
  <c r="T419" i="1" s="1"/>
  <c r="S419" i="1"/>
  <c r="N84" i="1"/>
  <c r="T84" i="1" s="1"/>
  <c r="S84" i="1"/>
  <c r="N180" i="1"/>
  <c r="T180" i="1" s="1"/>
  <c r="S180" i="1"/>
  <c r="N324" i="1"/>
  <c r="T324" i="1" s="1"/>
  <c r="S324" i="1"/>
  <c r="N444" i="1"/>
  <c r="T444" i="1" s="1"/>
  <c r="S444" i="1"/>
  <c r="N9" i="1"/>
  <c r="T9" i="1" s="1"/>
  <c r="S9" i="1"/>
  <c r="N153" i="1"/>
  <c r="T153" i="1" s="1"/>
  <c r="S153" i="1"/>
  <c r="N297" i="1"/>
  <c r="T297" i="1" s="1"/>
  <c r="S297" i="1"/>
  <c r="N489" i="1"/>
  <c r="T489" i="1" s="1"/>
  <c r="S489" i="1"/>
  <c r="N250" i="1"/>
  <c r="T250" i="1" s="1"/>
  <c r="S250" i="1"/>
  <c r="N149" i="1"/>
  <c r="T149" i="1" s="1"/>
  <c r="S149" i="1"/>
  <c r="N329" i="1"/>
  <c r="T329" i="1" s="1"/>
  <c r="S329" i="1"/>
  <c r="N160" i="1"/>
  <c r="T160" i="1" s="1"/>
  <c r="S160" i="1"/>
  <c r="N424" i="1"/>
  <c r="T424" i="1" s="1"/>
  <c r="S424" i="1"/>
  <c r="N330" i="1"/>
  <c r="T330" i="1" s="1"/>
  <c r="S330" i="1"/>
  <c r="N388" i="1"/>
  <c r="T388" i="1" s="1"/>
  <c r="S388" i="1"/>
  <c r="N51" i="1"/>
  <c r="T51" i="1" s="1"/>
  <c r="S51" i="1"/>
  <c r="N220" i="1"/>
  <c r="T220" i="1" s="1"/>
  <c r="S220" i="1"/>
  <c r="N75" i="1"/>
  <c r="T75" i="1" s="1"/>
  <c r="S75" i="1"/>
  <c r="N459" i="1"/>
  <c r="T459" i="1" s="1"/>
  <c r="S459" i="1"/>
  <c r="S60" i="1"/>
  <c r="N73" i="1"/>
  <c r="T73" i="1" s="1"/>
  <c r="S73" i="1"/>
  <c r="N362" i="1"/>
  <c r="T362" i="1" s="1"/>
  <c r="S362" i="1"/>
  <c r="S453" i="1"/>
  <c r="P198" i="1"/>
  <c r="T198" i="1" s="1"/>
  <c r="S198" i="1"/>
  <c r="N367" i="1"/>
  <c r="T367" i="1" s="1"/>
  <c r="S367" i="1"/>
  <c r="N86" i="1"/>
  <c r="T86" i="1" s="1"/>
  <c r="S86" i="1"/>
  <c r="N410" i="1"/>
  <c r="T410" i="1" s="1"/>
  <c r="S410" i="1"/>
  <c r="N267" i="1"/>
  <c r="T267" i="1" s="1"/>
  <c r="S267" i="1"/>
  <c r="N249" i="1"/>
  <c r="T249" i="1" s="1"/>
  <c r="S249" i="1"/>
  <c r="N154" i="1"/>
  <c r="T154" i="1" s="1"/>
  <c r="S154" i="1"/>
  <c r="N34" i="1"/>
  <c r="T34" i="1" s="1"/>
  <c r="S34" i="1"/>
  <c r="N228" i="1"/>
  <c r="T228" i="1" s="1"/>
  <c r="S228" i="1"/>
  <c r="N456" i="1"/>
  <c r="T456" i="1" s="1"/>
  <c r="S456" i="1"/>
  <c r="N33" i="1"/>
  <c r="T33" i="1" s="1"/>
  <c r="S33" i="1"/>
  <c r="N321" i="1"/>
  <c r="T321" i="1" s="1"/>
  <c r="S321" i="1"/>
  <c r="N354" i="1"/>
  <c r="T354" i="1" s="1"/>
  <c r="S354" i="1"/>
  <c r="P107" i="1"/>
  <c r="T107" i="1" s="1"/>
  <c r="S107" i="1"/>
  <c r="N25" i="1"/>
  <c r="T25" i="1" s="1"/>
  <c r="S25" i="1"/>
  <c r="N493" i="1"/>
  <c r="T493" i="1" s="1"/>
  <c r="S493" i="1"/>
  <c r="N80" i="1"/>
  <c r="T80" i="1" s="1"/>
  <c r="S80" i="1"/>
  <c r="N380" i="1"/>
  <c r="T380" i="1" s="1"/>
  <c r="S380" i="1"/>
  <c r="N47" i="1"/>
  <c r="T47" i="1" s="1"/>
  <c r="S47" i="1"/>
  <c r="N199" i="1"/>
  <c r="T199" i="1" s="1"/>
  <c r="S199" i="1"/>
  <c r="N140" i="1"/>
  <c r="T140" i="1" s="1"/>
  <c r="S140" i="1"/>
  <c r="N10" i="1"/>
  <c r="T10" i="1" s="1"/>
  <c r="S10" i="1"/>
  <c r="N455" i="1"/>
  <c r="T455" i="1" s="1"/>
  <c r="S455" i="1"/>
  <c r="N353" i="1"/>
  <c r="T353" i="1" s="1"/>
  <c r="S353" i="1"/>
  <c r="N42" i="1"/>
  <c r="T42" i="1" s="1"/>
  <c r="S42" i="1"/>
  <c r="N171" i="1"/>
  <c r="T171" i="1" s="1"/>
  <c r="S171" i="1"/>
  <c r="N331" i="1"/>
  <c r="T331" i="1" s="1"/>
  <c r="S331" i="1"/>
  <c r="P131" i="1"/>
  <c r="T131" i="1" s="1"/>
  <c r="S131" i="1"/>
  <c r="N138" i="1"/>
  <c r="T138" i="1" s="1"/>
  <c r="S138" i="1"/>
  <c r="P143" i="1"/>
  <c r="T143" i="1" s="1"/>
  <c r="S143" i="1"/>
  <c r="N98" i="1"/>
  <c r="T98" i="1" s="1"/>
  <c r="S98" i="1"/>
  <c r="N111" i="1"/>
  <c r="T111" i="1" s="1"/>
  <c r="S111" i="1"/>
  <c r="N273" i="1"/>
  <c r="T273" i="1" s="1"/>
  <c r="S273" i="1"/>
  <c r="N214" i="1"/>
  <c r="T214" i="1" s="1"/>
  <c r="S214" i="1"/>
  <c r="N12" i="1"/>
  <c r="T12" i="1" s="1"/>
  <c r="S12" i="1"/>
  <c r="N384" i="1"/>
  <c r="T384" i="1" s="1"/>
  <c r="S384" i="1"/>
  <c r="N201" i="1"/>
  <c r="T201" i="1" s="1"/>
  <c r="S201" i="1"/>
  <c r="N293" i="1"/>
  <c r="T293" i="1" s="1"/>
  <c r="S293" i="1"/>
  <c r="N399" i="1"/>
  <c r="T399" i="1" s="1"/>
  <c r="S399" i="1"/>
  <c r="P163" i="1"/>
  <c r="T163" i="1" s="1"/>
  <c r="S163" i="1"/>
  <c r="N313" i="1"/>
  <c r="T313" i="1" s="1"/>
  <c r="S313" i="1"/>
  <c r="N104" i="1"/>
  <c r="T104" i="1" s="1"/>
  <c r="S104" i="1"/>
  <c r="N299" i="1"/>
  <c r="T299" i="1" s="1"/>
  <c r="S299" i="1"/>
  <c r="N235" i="1"/>
  <c r="T235" i="1" s="1"/>
  <c r="S235" i="1"/>
  <c r="N152" i="1"/>
  <c r="T152" i="1" s="1"/>
  <c r="S152" i="1"/>
  <c r="N70" i="1"/>
  <c r="T70" i="1" s="1"/>
  <c r="S70" i="1"/>
  <c r="N227" i="1"/>
  <c r="T227" i="1" s="1"/>
  <c r="S227" i="1"/>
  <c r="N113" i="1"/>
  <c r="T113" i="1" s="1"/>
  <c r="S113" i="1"/>
  <c r="N485" i="1"/>
  <c r="T485" i="1" s="1"/>
  <c r="S485" i="1"/>
  <c r="N294" i="1"/>
  <c r="T294" i="1" s="1"/>
  <c r="S294" i="1"/>
  <c r="N112" i="1"/>
  <c r="T112" i="1" s="1"/>
  <c r="S112" i="1"/>
  <c r="P229" i="1"/>
  <c r="T229" i="1" s="1"/>
  <c r="S229" i="1"/>
  <c r="P432" i="1"/>
  <c r="T432" i="1" s="1"/>
  <c r="S432" i="1"/>
  <c r="N254" i="1"/>
  <c r="T254" i="1" s="1"/>
  <c r="S254" i="1"/>
  <c r="N159" i="1"/>
  <c r="T159" i="1" s="1"/>
  <c r="S159" i="1"/>
  <c r="N322" i="1"/>
  <c r="T322" i="1" s="1"/>
  <c r="S322" i="1"/>
  <c r="N165" i="1"/>
  <c r="T165" i="1" s="1"/>
  <c r="S165" i="1"/>
  <c r="N501" i="1"/>
  <c r="T501" i="1" s="1"/>
  <c r="S501" i="1"/>
  <c r="N503" i="1"/>
  <c r="T503" i="1" s="1"/>
  <c r="S503" i="1"/>
  <c r="N288" i="1"/>
  <c r="T288" i="1" s="1"/>
  <c r="S288" i="1"/>
  <c r="N369" i="1"/>
  <c r="T369" i="1" s="1"/>
  <c r="S369" i="1"/>
  <c r="N425" i="1"/>
  <c r="T425" i="1" s="1"/>
  <c r="S425" i="1"/>
  <c r="N292" i="1"/>
  <c r="T292" i="1" s="1"/>
  <c r="S292" i="1"/>
  <c r="N400" i="1"/>
  <c r="T400" i="1" s="1"/>
  <c r="S400" i="1"/>
  <c r="N37" i="1"/>
  <c r="T37" i="1" s="1"/>
  <c r="S37" i="1"/>
  <c r="N342" i="1"/>
  <c r="T342" i="1" s="1"/>
  <c r="S342" i="1"/>
  <c r="P265" i="1"/>
  <c r="T265" i="1" s="1"/>
  <c r="S265" i="1"/>
  <c r="N246" i="1"/>
  <c r="T246" i="1" s="1"/>
  <c r="S246" i="1"/>
  <c r="P417" i="1"/>
  <c r="T417" i="1" s="1"/>
  <c r="S417" i="1"/>
  <c r="P334" i="1"/>
  <c r="T334" i="1" s="1"/>
  <c r="S334" i="1"/>
  <c r="P230" i="1"/>
  <c r="T230" i="1" s="1"/>
  <c r="S230" i="1"/>
  <c r="N97" i="1"/>
  <c r="T97" i="1" s="1"/>
  <c r="S97" i="1"/>
  <c r="N343" i="1"/>
  <c r="T343" i="1" s="1"/>
  <c r="S343" i="1"/>
  <c r="N284" i="1"/>
  <c r="T284" i="1" s="1"/>
  <c r="S284" i="1"/>
  <c r="N176" i="1"/>
  <c r="T176" i="1" s="1"/>
  <c r="S176" i="1"/>
  <c r="N94" i="1"/>
  <c r="T94" i="1" s="1"/>
  <c r="S94" i="1"/>
  <c r="N65" i="1"/>
  <c r="T65" i="1" s="1"/>
  <c r="S65" i="1"/>
  <c r="N378" i="1"/>
  <c r="T378" i="1" s="1"/>
  <c r="S378" i="1"/>
  <c r="N316" i="1"/>
  <c r="T316" i="1" s="1"/>
  <c r="S316" i="1"/>
  <c r="N148" i="1"/>
  <c r="T148" i="1" s="1"/>
  <c r="S148" i="1"/>
  <c r="P301" i="1"/>
  <c r="T301" i="1" s="1"/>
  <c r="S301" i="1"/>
  <c r="N139" i="1"/>
  <c r="T139" i="1" s="1"/>
  <c r="S139" i="1"/>
  <c r="P58" i="1"/>
  <c r="T58" i="1" s="1"/>
  <c r="S58" i="1"/>
  <c r="P386" i="1"/>
  <c r="T386" i="1" s="1"/>
  <c r="S386" i="1"/>
  <c r="N158" i="1"/>
  <c r="T158" i="1" s="1"/>
  <c r="S158" i="1"/>
  <c r="N458" i="1"/>
  <c r="T458" i="1" s="1"/>
  <c r="S458" i="1"/>
  <c r="N45" i="1"/>
  <c r="T45" i="1" s="1"/>
  <c r="S45" i="1"/>
  <c r="N454" i="1"/>
  <c r="T454" i="1" s="1"/>
  <c r="S454" i="1"/>
  <c r="N156" i="1"/>
  <c r="T156" i="1" s="1"/>
  <c r="S156" i="1"/>
  <c r="N408" i="1"/>
  <c r="T408" i="1" s="1"/>
  <c r="S408" i="1"/>
  <c r="N105" i="1"/>
  <c r="T105" i="1" s="1"/>
  <c r="S105" i="1"/>
  <c r="N497" i="1"/>
  <c r="T497" i="1" s="1"/>
  <c r="S497" i="1"/>
  <c r="N150" i="1"/>
  <c r="T150" i="1" s="1"/>
  <c r="S150" i="1"/>
  <c r="P398" i="1"/>
  <c r="T398" i="1" s="1"/>
  <c r="S398" i="1"/>
  <c r="N397" i="1"/>
  <c r="T397" i="1" s="1"/>
  <c r="S397" i="1"/>
  <c r="N8" i="1"/>
  <c r="S8" i="1"/>
  <c r="N308" i="1"/>
  <c r="T308" i="1" s="1"/>
  <c r="S308" i="1"/>
  <c r="N68" i="1"/>
  <c r="T68" i="1" s="1"/>
  <c r="S68" i="1"/>
  <c r="N344" i="1"/>
  <c r="T344" i="1" s="1"/>
  <c r="S344" i="1"/>
  <c r="N202" i="1"/>
  <c r="T202" i="1" s="1"/>
  <c r="S202" i="1"/>
  <c r="N323" i="1"/>
  <c r="T323" i="1" s="1"/>
  <c r="S323" i="1"/>
  <c r="N127" i="1"/>
  <c r="T127" i="1" s="1"/>
  <c r="S127" i="1"/>
  <c r="N317" i="1"/>
  <c r="T317" i="1" s="1"/>
  <c r="S317" i="1"/>
  <c r="N271" i="1"/>
  <c r="T271" i="1" s="1"/>
  <c r="S271" i="1"/>
  <c r="N175" i="1"/>
  <c r="T175" i="1" s="1"/>
  <c r="S175" i="1"/>
  <c r="N314" i="1"/>
  <c r="T314" i="1" s="1"/>
  <c r="S314" i="1"/>
  <c r="N231" i="1"/>
  <c r="T231" i="1" s="1"/>
  <c r="S231" i="1"/>
  <c r="N274" i="1"/>
  <c r="T274" i="1" s="1"/>
  <c r="S274" i="1"/>
  <c r="N69" i="1"/>
  <c r="T69" i="1" s="1"/>
  <c r="S69" i="1"/>
  <c r="N357" i="1"/>
  <c r="T357" i="1" s="1"/>
  <c r="S357" i="1"/>
  <c r="N286" i="1"/>
  <c r="T286" i="1" s="1"/>
  <c r="S286" i="1"/>
  <c r="N72" i="1"/>
  <c r="T72" i="1" s="1"/>
  <c r="S72" i="1"/>
  <c r="N420" i="1"/>
  <c r="T420" i="1" s="1"/>
  <c r="S420" i="1"/>
  <c r="N319" i="1"/>
  <c r="T319" i="1" s="1"/>
  <c r="S319" i="1"/>
  <c r="N129" i="1"/>
  <c r="T129" i="1" s="1"/>
  <c r="S129" i="1"/>
  <c r="N441" i="1"/>
  <c r="T441" i="1" s="1"/>
  <c r="S441" i="1"/>
  <c r="N77" i="1"/>
  <c r="T77" i="1" s="1"/>
  <c r="S77" i="1"/>
  <c r="N389" i="1"/>
  <c r="T389" i="1" s="1"/>
  <c r="S389" i="1"/>
  <c r="N352" i="1"/>
  <c r="T352" i="1" s="1"/>
  <c r="S352" i="1"/>
  <c r="N61" i="1"/>
  <c r="T61" i="1" s="1"/>
  <c r="S61" i="1"/>
  <c r="N450" i="1"/>
  <c r="T450" i="1" s="1"/>
  <c r="S450" i="1"/>
  <c r="P465" i="1"/>
  <c r="T465" i="1" s="1"/>
  <c r="S465" i="1"/>
  <c r="P278" i="1"/>
  <c r="T278" i="1" s="1"/>
  <c r="S278" i="1"/>
  <c r="N409" i="1"/>
  <c r="T409" i="1" s="1"/>
  <c r="S409" i="1"/>
  <c r="N379" i="1"/>
  <c r="T379" i="1" s="1"/>
  <c r="S379" i="1"/>
  <c r="N188" i="1"/>
  <c r="T188" i="1" s="1"/>
  <c r="S188" i="1"/>
  <c r="N476" i="1"/>
  <c r="T476" i="1" s="1"/>
  <c r="S476" i="1"/>
  <c r="N502" i="1"/>
  <c r="T502" i="1" s="1"/>
  <c r="S502" i="1"/>
  <c r="N92" i="1"/>
  <c r="T92" i="1" s="1"/>
  <c r="S92" i="1"/>
  <c r="N368" i="1"/>
  <c r="T368" i="1" s="1"/>
  <c r="S368" i="1"/>
  <c r="N226" i="1"/>
  <c r="T226" i="1" s="1"/>
  <c r="S226" i="1"/>
  <c r="N95" i="1"/>
  <c r="T95" i="1" s="1"/>
  <c r="S95" i="1"/>
  <c r="N371" i="1"/>
  <c r="T371" i="1" s="1"/>
  <c r="S371" i="1"/>
  <c r="N17" i="1"/>
  <c r="T17" i="1" s="1"/>
  <c r="S17" i="1"/>
  <c r="N269" i="1"/>
  <c r="T269" i="1" s="1"/>
  <c r="S269" i="1"/>
  <c r="N90" i="1"/>
  <c r="T90" i="1" s="1"/>
  <c r="S90" i="1"/>
  <c r="N208" i="1"/>
  <c r="T208" i="1" s="1"/>
  <c r="S208" i="1"/>
  <c r="N351" i="1"/>
  <c r="T351" i="1" s="1"/>
  <c r="S351" i="1"/>
  <c r="N364" i="1"/>
  <c r="T364" i="1" s="1"/>
  <c r="S364" i="1"/>
  <c r="P144" i="1"/>
  <c r="T144" i="1" s="1"/>
  <c r="S144" i="1"/>
  <c r="N467" i="1"/>
  <c r="T467" i="1" s="1"/>
  <c r="S467" i="1"/>
  <c r="S337" i="1"/>
  <c r="N295" i="1"/>
  <c r="T295" i="1" s="1"/>
  <c r="S295" i="1"/>
  <c r="N66" i="1"/>
  <c r="T66" i="1" s="1"/>
  <c r="S66" i="1"/>
  <c r="P59" i="1"/>
  <c r="T59" i="1" s="1"/>
  <c r="S59" i="1"/>
  <c r="P335" i="1"/>
  <c r="T335" i="1" s="1"/>
  <c r="S335" i="1"/>
  <c r="P457" i="1"/>
  <c r="T457" i="1" s="1"/>
  <c r="S457" i="1"/>
  <c r="P279" i="1"/>
  <c r="T279" i="1" s="1"/>
  <c r="S279" i="1"/>
  <c r="P118" i="1"/>
  <c r="T118" i="1" s="1"/>
  <c r="S118" i="1"/>
  <c r="P406" i="1"/>
  <c r="T406" i="1" s="1"/>
  <c r="S406" i="1"/>
  <c r="P302" i="1"/>
  <c r="T302" i="1" s="1"/>
  <c r="S302" i="1"/>
  <c r="N13" i="1"/>
  <c r="T13" i="1" s="1"/>
  <c r="S13" i="1"/>
  <c r="N193" i="1"/>
  <c r="T193" i="1" s="1"/>
  <c r="S193" i="1"/>
  <c r="N421" i="1"/>
  <c r="T421" i="1" s="1"/>
  <c r="S421" i="1"/>
  <c r="N151" i="1"/>
  <c r="T151" i="1" s="1"/>
  <c r="S151" i="1"/>
  <c r="N56" i="1"/>
  <c r="T56" i="1" s="1"/>
  <c r="S56" i="1"/>
  <c r="N212" i="1"/>
  <c r="T212" i="1" s="1"/>
  <c r="S212" i="1"/>
  <c r="N356" i="1"/>
  <c r="T356" i="1" s="1"/>
  <c r="S356" i="1"/>
  <c r="N500" i="1"/>
  <c r="T500" i="1" s="1"/>
  <c r="S500" i="1"/>
  <c r="N11" i="1"/>
  <c r="T11" i="1" s="1"/>
  <c r="S11" i="1"/>
  <c r="N263" i="1"/>
  <c r="T263" i="1" s="1"/>
  <c r="S263" i="1"/>
  <c r="N431" i="1"/>
  <c r="T431" i="1" s="1"/>
  <c r="S431" i="1"/>
  <c r="N91" i="1"/>
  <c r="T91" i="1" s="1"/>
  <c r="S91" i="1"/>
  <c r="N475" i="1"/>
  <c r="T475" i="1" s="1"/>
  <c r="S475" i="1"/>
  <c r="N116" i="1"/>
  <c r="T116" i="1" s="1"/>
  <c r="S116" i="1"/>
  <c r="N248" i="1"/>
  <c r="T248" i="1" s="1"/>
  <c r="S248" i="1"/>
  <c r="N392" i="1"/>
  <c r="T392" i="1" s="1"/>
  <c r="S392" i="1"/>
  <c r="N179" i="1"/>
  <c r="T179" i="1" s="1"/>
  <c r="S179" i="1"/>
  <c r="N383" i="1"/>
  <c r="T383" i="1" s="1"/>
  <c r="S383" i="1"/>
  <c r="N427" i="1"/>
  <c r="T427" i="1" s="1"/>
  <c r="S427" i="1"/>
  <c r="P40" i="1"/>
  <c r="T40" i="1" s="1"/>
  <c r="S40" i="1"/>
  <c r="N89" i="1"/>
  <c r="T89" i="1" s="1"/>
  <c r="S89" i="1"/>
  <c r="N401" i="1"/>
  <c r="T401" i="1" s="1"/>
  <c r="S401" i="1"/>
  <c r="N461" i="1"/>
  <c r="T461" i="1" s="1"/>
  <c r="S461" i="1"/>
  <c r="N28" i="1"/>
  <c r="T28" i="1" s="1"/>
  <c r="S28" i="1"/>
  <c r="N270" i="1"/>
  <c r="T270" i="1" s="1"/>
  <c r="S270" i="1"/>
  <c r="N147" i="1"/>
  <c r="T147" i="1" s="1"/>
  <c r="S147" i="1"/>
  <c r="N375" i="1"/>
  <c r="T375" i="1" s="1"/>
  <c r="S375" i="1"/>
  <c r="N64" i="1"/>
  <c r="T64" i="1" s="1"/>
  <c r="S64" i="1"/>
  <c r="N315" i="1"/>
  <c r="T315" i="1" s="1"/>
  <c r="S315" i="1"/>
  <c r="S253" i="1"/>
  <c r="N468" i="1"/>
  <c r="T468" i="1" s="1"/>
  <c r="S468" i="1"/>
  <c r="S19" i="1"/>
  <c r="P7" i="1"/>
  <c r="T7" i="1" s="1"/>
  <c r="S7" i="1"/>
  <c r="AA6" i="2" l="1"/>
  <c r="T8" i="1"/>
  <c r="V6" i="2" s="1"/>
  <c r="U315" i="1"/>
  <c r="U461" i="1"/>
  <c r="U179" i="1"/>
  <c r="U431" i="1"/>
  <c r="U56" i="1"/>
  <c r="U406" i="1"/>
  <c r="U351" i="1"/>
  <c r="U95" i="1"/>
  <c r="U188" i="1"/>
  <c r="U61" i="1"/>
  <c r="U319" i="1"/>
  <c r="U274" i="1"/>
  <c r="U127" i="1"/>
  <c r="U408" i="1"/>
  <c r="U386" i="1"/>
  <c r="U378" i="1"/>
  <c r="U97" i="1"/>
  <c r="U342" i="1"/>
  <c r="U254" i="1"/>
  <c r="U113" i="1"/>
  <c r="U104" i="1"/>
  <c r="U384" i="1"/>
  <c r="U143" i="1"/>
  <c r="U353" i="1"/>
  <c r="U380" i="1"/>
  <c r="U321" i="1"/>
  <c r="U249" i="1"/>
  <c r="U453" i="1"/>
  <c r="U51" i="1"/>
  <c r="U149" i="1"/>
  <c r="U444" i="1"/>
  <c r="U142" i="1"/>
  <c r="U39" i="1"/>
  <c r="U211" i="1"/>
  <c r="U303" i="1"/>
  <c r="U285" i="1"/>
  <c r="U30" i="1"/>
  <c r="U382" i="1"/>
  <c r="U121" i="1"/>
  <c r="U300" i="1"/>
  <c r="U490" i="1"/>
  <c r="U306" i="1"/>
  <c r="U128" i="1"/>
  <c r="U474" i="1"/>
  <c r="U430" i="1"/>
  <c r="U191" i="1"/>
  <c r="U440" i="1"/>
  <c r="U247" i="1"/>
  <c r="U492" i="1"/>
  <c r="U327" i="1"/>
  <c r="U101" i="1"/>
  <c r="U241" i="1"/>
  <c r="U161" i="1"/>
  <c r="U394" i="1"/>
  <c r="U103" i="1"/>
  <c r="U438" i="1"/>
  <c r="U234" i="1"/>
  <c r="U333" i="1"/>
  <c r="U507" i="1"/>
  <c r="U46" i="1"/>
  <c r="U24" i="1"/>
  <c r="U76" i="1"/>
  <c r="U31" i="1"/>
  <c r="U186" i="1"/>
  <c r="U62" i="1"/>
  <c r="U436" i="1"/>
  <c r="U29" i="1"/>
  <c r="U133" i="1"/>
  <c r="U43" i="1"/>
  <c r="U22" i="1"/>
  <c r="U374" i="1"/>
  <c r="U35" i="1"/>
  <c r="U481" i="1"/>
  <c r="U288" i="1"/>
  <c r="U480" i="1"/>
  <c r="U145" i="1"/>
  <c r="U391" i="1"/>
  <c r="U66" i="1"/>
  <c r="U362" i="1"/>
  <c r="U449" i="1"/>
  <c r="U32" i="1"/>
  <c r="U184" i="1"/>
  <c r="U504" i="1"/>
  <c r="U365" i="1"/>
  <c r="U206" i="1"/>
  <c r="U166" i="1"/>
  <c r="U80" i="1"/>
  <c r="U33" i="1"/>
  <c r="U250" i="1"/>
  <c r="U324" i="1"/>
  <c r="U381" i="1"/>
  <c r="U326" i="1"/>
  <c r="U340" i="1"/>
  <c r="U183" i="1"/>
  <c r="U256" i="1"/>
  <c r="U468" i="1"/>
  <c r="U364" i="1"/>
  <c r="U371" i="1"/>
  <c r="U476" i="1"/>
  <c r="U450" i="1"/>
  <c r="U129" i="1"/>
  <c r="U69" i="1"/>
  <c r="U317" i="1"/>
  <c r="U308" i="1"/>
  <c r="U105" i="1"/>
  <c r="U158" i="1"/>
  <c r="U316" i="1"/>
  <c r="U343" i="1"/>
  <c r="U265" i="1"/>
  <c r="U369" i="1"/>
  <c r="U159" i="1"/>
  <c r="U485" i="1"/>
  <c r="U299" i="1"/>
  <c r="U201" i="1"/>
  <c r="U98" i="1"/>
  <c r="U42" i="1"/>
  <c r="U47" i="1"/>
  <c r="U354" i="1"/>
  <c r="U154" i="1"/>
  <c r="U198" i="1"/>
  <c r="U220" i="1"/>
  <c r="U329" i="1"/>
  <c r="U9" i="1"/>
  <c r="U370" i="1"/>
  <c r="U255" i="1"/>
  <c r="U106" i="1"/>
  <c r="U325" i="1"/>
  <c r="U137" i="1"/>
  <c r="U170" i="1"/>
  <c r="U257" i="1"/>
  <c r="U164" i="1"/>
  <c r="U261" i="1"/>
  <c r="U266" i="1"/>
  <c r="U304" i="1"/>
  <c r="U347" i="1"/>
  <c r="U203" i="1"/>
  <c r="U132" i="1"/>
  <c r="U67" i="1"/>
  <c r="U346" i="1"/>
  <c r="U210" i="1"/>
  <c r="U57" i="1"/>
  <c r="U178" i="1"/>
  <c r="U473" i="1"/>
  <c r="U439" i="1"/>
  <c r="U426" i="1"/>
  <c r="U96" i="1"/>
  <c r="U130" i="1"/>
  <c r="U498" i="1"/>
  <c r="U136" i="1"/>
  <c r="U395" i="1"/>
  <c r="U478" i="1"/>
  <c r="U396" i="1"/>
  <c r="U307" i="1"/>
  <c r="U462" i="1"/>
  <c r="U422" i="1"/>
  <c r="U88" i="1"/>
  <c r="U446" i="1"/>
  <c r="U87" i="1"/>
  <c r="U221" i="1"/>
  <c r="U134" i="1"/>
  <c r="U277" i="1"/>
  <c r="U469" i="1"/>
  <c r="U19" i="1"/>
  <c r="U336" i="1"/>
  <c r="U349" i="1"/>
  <c r="U337" i="1"/>
  <c r="U28" i="1"/>
  <c r="U383" i="1"/>
  <c r="U91" i="1"/>
  <c r="U212" i="1"/>
  <c r="U302" i="1"/>
  <c r="U59" i="1"/>
  <c r="U18" i="1"/>
  <c r="U332" i="1"/>
  <c r="U328" i="1"/>
  <c r="U338" i="1"/>
  <c r="U167" i="1"/>
  <c r="U99" i="1"/>
  <c r="U494" i="1"/>
  <c r="U208" i="1"/>
  <c r="U226" i="1"/>
  <c r="U379" i="1"/>
  <c r="U352" i="1"/>
  <c r="U420" i="1"/>
  <c r="U231" i="1"/>
  <c r="U12" i="1"/>
  <c r="U16" i="1"/>
  <c r="U312" i="1"/>
  <c r="U488" i="1"/>
  <c r="U282" i="1"/>
  <c r="U15" i="1"/>
  <c r="U345" i="1"/>
  <c r="U460" i="1"/>
  <c r="U102" i="1"/>
  <c r="U14" i="1"/>
  <c r="U290" i="1"/>
  <c r="U90" i="1"/>
  <c r="U368" i="1"/>
  <c r="U409" i="1"/>
  <c r="U389" i="1"/>
  <c r="U72" i="1"/>
  <c r="U314" i="1"/>
  <c r="U202" i="1"/>
  <c r="U398" i="1"/>
  <c r="U454" i="1"/>
  <c r="U139" i="1"/>
  <c r="U94" i="1"/>
  <c r="U334" i="1"/>
  <c r="U400" i="1"/>
  <c r="U501" i="1"/>
  <c r="U229" i="1"/>
  <c r="U70" i="1"/>
  <c r="U163" i="1"/>
  <c r="U214" i="1"/>
  <c r="U131" i="1"/>
  <c r="U10" i="1"/>
  <c r="U493" i="1"/>
  <c r="U456" i="1"/>
  <c r="U410" i="1"/>
  <c r="U330" i="1"/>
  <c r="U489" i="1"/>
  <c r="U180" i="1"/>
  <c r="U237" i="1"/>
  <c r="U182" i="1"/>
  <c r="U405" i="1"/>
  <c r="U27" i="1"/>
  <c r="U82" i="1"/>
  <c r="U463" i="1"/>
  <c r="U200" i="1"/>
  <c r="U78" i="1"/>
  <c r="U262" i="1"/>
  <c r="U402" i="1"/>
  <c r="U358" i="1"/>
  <c r="U190" i="1"/>
  <c r="U100" i="1"/>
  <c r="U21" i="1"/>
  <c r="U448" i="1"/>
  <c r="U404" i="1"/>
  <c r="U196" i="1"/>
  <c r="U443" i="1"/>
  <c r="U442" i="1"/>
  <c r="U416" i="1"/>
  <c r="U499" i="1"/>
  <c r="U177" i="1"/>
  <c r="U117" i="1"/>
  <c r="U135" i="1"/>
  <c r="U276" i="1"/>
  <c r="U291" i="1"/>
  <c r="U377" i="1"/>
  <c r="U479" i="1"/>
  <c r="U320" i="1"/>
  <c r="U496" i="1"/>
  <c r="U339" i="1"/>
  <c r="U120" i="1"/>
  <c r="U157" i="1"/>
  <c r="U413" i="1"/>
  <c r="U219" i="1"/>
  <c r="U114" i="1"/>
  <c r="U359" i="1"/>
  <c r="U311" i="1"/>
  <c r="U375" i="1"/>
  <c r="U89" i="1"/>
  <c r="U248" i="1"/>
  <c r="U11" i="1"/>
  <c r="U421" i="1"/>
  <c r="U279" i="1"/>
  <c r="U223" i="1"/>
  <c r="U169" i="1"/>
  <c r="U318" i="1"/>
  <c r="U243" i="1"/>
  <c r="U296" i="1"/>
  <c r="U217" i="1"/>
  <c r="U54" i="1"/>
  <c r="U17" i="1"/>
  <c r="U502" i="1"/>
  <c r="U465" i="1"/>
  <c r="U441" i="1"/>
  <c r="U357" i="1"/>
  <c r="U271" i="1"/>
  <c r="U68" i="1"/>
  <c r="U497" i="1"/>
  <c r="U458" i="1"/>
  <c r="U148" i="1"/>
  <c r="U284" i="1"/>
  <c r="U246" i="1"/>
  <c r="U425" i="1"/>
  <c r="U322" i="1"/>
  <c r="U294" i="1"/>
  <c r="U235" i="1"/>
  <c r="U293" i="1"/>
  <c r="U111" i="1"/>
  <c r="U171" i="1"/>
  <c r="U199" i="1"/>
  <c r="U107" i="1"/>
  <c r="U34" i="1"/>
  <c r="U367" i="1"/>
  <c r="U75" i="1"/>
  <c r="U160" i="1"/>
  <c r="U153" i="1"/>
  <c r="U419" i="1"/>
  <c r="U447" i="1"/>
  <c r="U376" i="1"/>
  <c r="U435" i="1"/>
  <c r="U124" i="1"/>
  <c r="U452" i="1"/>
  <c r="U185" i="1"/>
  <c r="U423" i="1"/>
  <c r="U415" i="1"/>
  <c r="U44" i="1"/>
  <c r="U81" i="1"/>
  <c r="U110" i="1"/>
  <c r="U232" i="1"/>
  <c r="U85" i="1"/>
  <c r="U41" i="1"/>
  <c r="U141" i="1"/>
  <c r="U495" i="1"/>
  <c r="U236" i="1"/>
  <c r="U119" i="1"/>
  <c r="U360" i="1"/>
  <c r="U194" i="1"/>
  <c r="U26" i="1"/>
  <c r="U123" i="1"/>
  <c r="U283" i="1"/>
  <c r="U428" i="1"/>
  <c r="U225" i="1"/>
  <c r="U407" i="1"/>
  <c r="U280" i="1"/>
  <c r="U259" i="1"/>
  <c r="U363" i="1"/>
  <c r="U272" i="1"/>
  <c r="U244" i="1"/>
  <c r="U281" i="1"/>
  <c r="U270" i="1"/>
  <c r="U427" i="1"/>
  <c r="U475" i="1"/>
  <c r="U356" i="1"/>
  <c r="U13" i="1"/>
  <c r="U335" i="1"/>
  <c r="U258" i="1"/>
  <c r="U239" i="1"/>
  <c r="U411" i="1"/>
  <c r="U341" i="1"/>
  <c r="U204" i="1"/>
  <c r="U195" i="1"/>
  <c r="U260" i="1"/>
  <c r="U181" i="1"/>
  <c r="U205" i="1"/>
  <c r="U323" i="1"/>
  <c r="U397" i="1"/>
  <c r="U156" i="1"/>
  <c r="U58" i="1"/>
  <c r="U65" i="1"/>
  <c r="U37" i="1"/>
  <c r="U503" i="1"/>
  <c r="U227" i="1"/>
  <c r="U313" i="1"/>
  <c r="U138" i="1"/>
  <c r="U455" i="1"/>
  <c r="U267" i="1"/>
  <c r="U388" i="1"/>
  <c r="U433" i="1"/>
  <c r="U451" i="1"/>
  <c r="U264" i="1"/>
  <c r="U48" i="1"/>
  <c r="U55" i="1"/>
  <c r="U125" i="1"/>
  <c r="U361" i="1"/>
  <c r="U222" i="1"/>
  <c r="U309" i="1"/>
  <c r="U20" i="1"/>
  <c r="U366" i="1"/>
  <c r="U240" i="1"/>
  <c r="U242" i="1"/>
  <c r="U215" i="1"/>
  <c r="U482" i="1"/>
  <c r="U52" i="1"/>
  <c r="U429" i="1"/>
  <c r="U484" i="1"/>
  <c r="U348" i="1"/>
  <c r="U251" i="1"/>
  <c r="U387" i="1"/>
  <c r="U238" i="1"/>
  <c r="U36" i="1"/>
  <c r="U122" i="1"/>
  <c r="U218" i="1"/>
  <c r="U372" i="1"/>
  <c r="U64" i="1"/>
  <c r="U401" i="1"/>
  <c r="U392" i="1"/>
  <c r="U263" i="1"/>
  <c r="U151" i="1"/>
  <c r="U118" i="1"/>
  <c r="U295" i="1"/>
  <c r="U73" i="1"/>
  <c r="U209" i="1"/>
  <c r="U115" i="1"/>
  <c r="U355" i="1"/>
  <c r="U192" i="1"/>
  <c r="U491" i="1"/>
  <c r="U445" i="1"/>
  <c r="U49" i="1"/>
  <c r="U373" i="1"/>
  <c r="U23" i="1"/>
  <c r="U109" i="1"/>
  <c r="U486" i="1"/>
  <c r="U467" i="1"/>
  <c r="U269" i="1"/>
  <c r="U92" i="1"/>
  <c r="U278" i="1"/>
  <c r="U77" i="1"/>
  <c r="U74" i="1"/>
  <c r="U155" i="1"/>
  <c r="U434" i="1"/>
  <c r="U173" i="1"/>
  <c r="U126" i="1"/>
  <c r="U83" i="1"/>
  <c r="U245" i="1"/>
  <c r="U466" i="1"/>
  <c r="U472" i="1"/>
  <c r="U418" i="1"/>
  <c r="U216" i="1"/>
  <c r="U298" i="1"/>
  <c r="U412" i="1"/>
  <c r="U172" i="1"/>
  <c r="U385" i="1"/>
  <c r="U471" i="1"/>
  <c r="U505" i="1"/>
  <c r="U79" i="1"/>
  <c r="U470" i="1"/>
  <c r="U289" i="1"/>
  <c r="U286" i="1"/>
  <c r="U175" i="1"/>
  <c r="U344" i="1"/>
  <c r="U150" i="1"/>
  <c r="U45" i="1"/>
  <c r="U301" i="1"/>
  <c r="U176" i="1"/>
  <c r="U417" i="1"/>
  <c r="U292" i="1"/>
  <c r="U165" i="1"/>
  <c r="U112" i="1"/>
  <c r="U152" i="1"/>
  <c r="U399" i="1"/>
  <c r="U273" i="1"/>
  <c r="U331" i="1"/>
  <c r="U140" i="1"/>
  <c r="U25" i="1"/>
  <c r="U228" i="1"/>
  <c r="U86" i="1"/>
  <c r="U459" i="1"/>
  <c r="U424" i="1"/>
  <c r="U297" i="1"/>
  <c r="U84" i="1"/>
  <c r="U93" i="1"/>
  <c r="U38" i="1"/>
  <c r="U162" i="1"/>
  <c r="U213" i="1"/>
  <c r="U390" i="1"/>
  <c r="U437" i="1"/>
  <c r="U189" i="1"/>
  <c r="U187" i="1"/>
  <c r="U464" i="1"/>
  <c r="U403" i="1"/>
  <c r="U305" i="1"/>
  <c r="U487" i="1"/>
  <c r="U233" i="1"/>
  <c r="U477" i="1"/>
  <c r="U197" i="1"/>
  <c r="U287" i="1"/>
  <c r="U174" i="1"/>
  <c r="U310" i="1"/>
  <c r="U63" i="1"/>
  <c r="U168" i="1"/>
  <c r="U50" i="1"/>
  <c r="U207" i="1"/>
  <c r="U393" i="1"/>
  <c r="U53" i="1"/>
  <c r="U144" i="1"/>
  <c r="U146" i="1"/>
  <c r="U252" i="1"/>
  <c r="U253" i="1"/>
  <c r="U506" i="1"/>
  <c r="U230" i="1"/>
  <c r="U432" i="1"/>
  <c r="U60" i="1"/>
  <c r="U147" i="1"/>
  <c r="U40" i="1"/>
  <c r="U116" i="1"/>
  <c r="U500" i="1"/>
  <c r="U193" i="1"/>
  <c r="U457" i="1"/>
  <c r="U414" i="1"/>
  <c r="U224" i="1"/>
  <c r="U350" i="1"/>
  <c r="U108" i="1"/>
  <c r="U275" i="1"/>
  <c r="U268" i="1"/>
  <c r="U71" i="1"/>
  <c r="U7" i="1"/>
  <c r="K74" i="2" l="1" a="1"/>
  <c r="K74" i="2" s="1"/>
  <c r="U8" i="1"/>
  <c r="P6" i="2" s="1"/>
  <c r="K70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<sst xmlns="http://schemas.openxmlformats.org/spreadsheetml/2006/main" count="195" uniqueCount="86">
  <si>
    <t>Gender</t>
  </si>
  <si>
    <t>Field Of Work</t>
  </si>
  <si>
    <t>Engineering</t>
  </si>
  <si>
    <t>IT</t>
  </si>
  <si>
    <t>Accounting</t>
  </si>
  <si>
    <t>Research</t>
  </si>
  <si>
    <t>Healthcare</t>
  </si>
  <si>
    <t>Art</t>
  </si>
  <si>
    <t>Other</t>
  </si>
  <si>
    <t>Education</t>
  </si>
  <si>
    <t>Secondary</t>
  </si>
  <si>
    <t>Senior Secondary</t>
  </si>
  <si>
    <t>UG</t>
  </si>
  <si>
    <t>PG</t>
  </si>
  <si>
    <t>Diploma</t>
  </si>
  <si>
    <t>Doctorate</t>
  </si>
  <si>
    <t>Kids</t>
  </si>
  <si>
    <t>Cars</t>
  </si>
  <si>
    <t>Area</t>
  </si>
  <si>
    <t>Haryana</t>
  </si>
  <si>
    <t>Punjab</t>
  </si>
  <si>
    <t>Maharashtra</t>
  </si>
  <si>
    <t>Andhra Pradesh</t>
  </si>
  <si>
    <t>Arunachal Pradesh</t>
  </si>
  <si>
    <t>Assam</t>
  </si>
  <si>
    <t>Bihar</t>
  </si>
  <si>
    <t>Uttar Pradesh</t>
  </si>
  <si>
    <t>Chhattisgarh</t>
  </si>
  <si>
    <t>Gujarat</t>
  </si>
  <si>
    <t>Goa</t>
  </si>
  <si>
    <t>Himachal Pradesh</t>
  </si>
  <si>
    <t>Jharkhand</t>
  </si>
  <si>
    <t>Karnataka</t>
  </si>
  <si>
    <t>Kerela</t>
  </si>
  <si>
    <t>Madhya Pradesh</t>
  </si>
  <si>
    <t xml:space="preserve">Manipur </t>
  </si>
  <si>
    <t>Meghalya</t>
  </si>
  <si>
    <t>Mizoram</t>
  </si>
  <si>
    <t>Nagaland</t>
  </si>
  <si>
    <t>Odisha</t>
  </si>
  <si>
    <t>Rajasthan</t>
  </si>
  <si>
    <t>Sikkim</t>
  </si>
  <si>
    <t>Tamil Nadu</t>
  </si>
  <si>
    <t>Telangana</t>
  </si>
  <si>
    <t>Tripura</t>
  </si>
  <si>
    <t>Uttrakhand</t>
  </si>
  <si>
    <t>West Bengal</t>
  </si>
  <si>
    <t>Income</t>
  </si>
  <si>
    <t>Value Of House</t>
  </si>
  <si>
    <t>Mortgage Left</t>
  </si>
  <si>
    <t>Car Value</t>
  </si>
  <si>
    <t>Car Payment Left</t>
  </si>
  <si>
    <t>Debts</t>
  </si>
  <si>
    <t>Investments</t>
  </si>
  <si>
    <t>Total Assets</t>
  </si>
  <si>
    <t xml:space="preserve">Total Liabilities </t>
  </si>
  <si>
    <t>Net Worth</t>
  </si>
  <si>
    <t>Column1</t>
  </si>
  <si>
    <t>Column2</t>
  </si>
  <si>
    <t>Column3</t>
  </si>
  <si>
    <t>Population Data</t>
  </si>
  <si>
    <t>Number of M</t>
  </si>
  <si>
    <t>Number of F</t>
  </si>
  <si>
    <t>Number of Men vs. Number of Women</t>
  </si>
  <si>
    <t>Average Age</t>
  </si>
  <si>
    <t>Age</t>
  </si>
  <si>
    <t>Average age of M</t>
  </si>
  <si>
    <t>Average age of F</t>
  </si>
  <si>
    <t>Number of People by Profession</t>
  </si>
  <si>
    <t>Number of People by Area</t>
  </si>
  <si>
    <t>Average Income</t>
  </si>
  <si>
    <t>Average Income of F</t>
  </si>
  <si>
    <t>Average Income of M</t>
  </si>
  <si>
    <t>Total cars</t>
  </si>
  <si>
    <t>Total Value of all cars</t>
  </si>
  <si>
    <t>Average Value of 1 Car</t>
  </si>
  <si>
    <t>Number of People with debts &gt; 1,00,000</t>
  </si>
  <si>
    <t>Number of people with Mortgage left &gt; 1,00,000</t>
  </si>
  <si>
    <t>Basic Data Extraction</t>
  </si>
  <si>
    <t>Advanced Data Extraction</t>
  </si>
  <si>
    <t>Total Income By Area</t>
  </si>
  <si>
    <t>Average Income by Area</t>
  </si>
  <si>
    <t>Total Income by Profession</t>
  </si>
  <si>
    <t>Average Income by Profession</t>
  </si>
  <si>
    <t>Average age of people having Networth &gt; 1,00,000</t>
  </si>
  <si>
    <t>Number of People having Liabilities more than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</si>
</sst>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22"/>
      <color rgb="FF3F3F3F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2"/>
      <color theme="1"/>
      <name val="Franklin Gothic Book"/>
      <family val="2"/>
    </font>
    <font>
      <sz val="28"/>
      <color rgb="FF9C0006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 style="medium">
        <color theme="1"/>
      </right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theme="1"/>
      </right>
      <top style="medium">
        <color theme="1"/>
      </top>
      <bottom style="thin">
        <color theme="1"/>
      </bottom>
      <diagonal/>
    </border>
  </borders>
  <cellStyleXfs count="7">
    <xf numFmtId="0" fontId="0" fillId="0" borderId="0"/>
    <xf numFmtId="0" fontId="1" fillId="2" borderId="1" applyNumberFormat="0" applyAlignment="0" applyProtection="0"/>
    <xf numFmtId="0" fontId="4" fillId="3" borderId="0" applyNumberFormat="0" applyBorder="0" applyAlignment="0" applyProtection="0"/>
    <xf numFmtId="0" fontId="5" fillId="2" borderId="11" applyNumberFormat="0" applyAlignment="0" applyProtection="0"/>
    <xf numFmtId="0" fontId="6" fillId="0" borderId="12" applyNumberFormat="0" applyFill="0" applyAlignment="0" applyProtection="0"/>
    <xf numFmtId="0" fontId="7" fillId="0" borderId="13" applyNumberFormat="0" applyFill="0" applyAlignment="0" applyProtection="0"/>
    <xf numFmtId="0" fontId="3" fillId="6" borderId="0" applyNumberFormat="0" applyBorder="0" applyAlignment="0" applyProtection="0"/>
  </cellStyleXfs>
  <cellXfs count="8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3" fillId="7" borderId="14" xfId="6" applyFill="1" applyBorder="1"/>
    <xf numFmtId="0" fontId="3" fillId="7" borderId="15" xfId="6" applyFill="1" applyBorder="1"/>
    <xf numFmtId="0" fontId="3" fillId="7" borderId="16" xfId="6" applyFill="1" applyBorder="1"/>
    <xf numFmtId="0" fontId="3" fillId="7" borderId="17" xfId="6" applyFill="1" applyBorder="1"/>
    <xf numFmtId="0" fontId="7" fillId="5" borderId="14" xfId="5" applyFill="1" applyBorder="1" applyAlignment="1">
      <alignment vertical="center"/>
    </xf>
    <xf numFmtId="0" fontId="7" fillId="5" borderId="15" xfId="5" applyFill="1" applyBorder="1" applyAlignment="1">
      <alignment vertical="center"/>
    </xf>
    <xf numFmtId="0" fontId="7" fillId="5" borderId="16" xfId="5" applyFill="1" applyBorder="1" applyAlignment="1">
      <alignment vertical="center"/>
    </xf>
    <xf numFmtId="0" fontId="7" fillId="5" borderId="17" xfId="5" applyFill="1" applyBorder="1" applyAlignment="1">
      <alignment vertical="center"/>
    </xf>
    <xf numFmtId="0" fontId="0" fillId="0" borderId="21" xfId="0" applyBorder="1"/>
    <xf numFmtId="0" fontId="7" fillId="7" borderId="25" xfId="5" applyFill="1" applyBorder="1" applyAlignment="1">
      <alignment horizontal="right"/>
    </xf>
    <xf numFmtId="0" fontId="7" fillId="7" borderId="26" xfId="5" applyFill="1" applyBorder="1" applyAlignment="1">
      <alignment horizontal="right"/>
    </xf>
    <xf numFmtId="0" fontId="7" fillId="7" borderId="27" xfId="5" applyFill="1" applyBorder="1" applyAlignment="1">
      <alignment horizontal="right"/>
    </xf>
    <xf numFmtId="0" fontId="7" fillId="7" borderId="28" xfId="5" applyFill="1" applyBorder="1"/>
    <xf numFmtId="0" fontId="7" fillId="7" borderId="29" xfId="5" applyFill="1" applyBorder="1"/>
    <xf numFmtId="0" fontId="7" fillId="7" borderId="30" xfId="5" applyFill="1" applyBorder="1"/>
    <xf numFmtId="0" fontId="6" fillId="4" borderId="20" xfId="4" applyFill="1" applyBorder="1"/>
    <xf numFmtId="0" fontId="0" fillId="0" borderId="0" xfId="0" applyAlignment="1">
      <alignment horizontal="center"/>
    </xf>
    <xf numFmtId="0" fontId="2" fillId="2" borderId="1" xfId="1" applyFont="1" applyAlignment="1">
      <alignment horizontal="center"/>
    </xf>
    <xf numFmtId="0" fontId="1" fillId="2" borderId="1" xfId="1" applyAlignment="1">
      <alignment horizontal="center"/>
    </xf>
    <xf numFmtId="0" fontId="9" fillId="5" borderId="18" xfId="5" applyFont="1" applyFill="1" applyBorder="1" applyAlignment="1">
      <alignment horizontal="center" vertical="center"/>
    </xf>
    <xf numFmtId="0" fontId="10" fillId="5" borderId="19" xfId="5" applyFont="1" applyFill="1" applyBorder="1" applyAlignment="1">
      <alignment horizontal="center" vertical="center"/>
    </xf>
    <xf numFmtId="0" fontId="11" fillId="5" borderId="14" xfId="5" applyFont="1" applyFill="1" applyBorder="1" applyAlignment="1">
      <alignment horizontal="center"/>
    </xf>
    <xf numFmtId="0" fontId="11" fillId="5" borderId="15" xfId="5" applyFont="1" applyFill="1" applyBorder="1" applyAlignment="1">
      <alignment horizontal="center"/>
    </xf>
    <xf numFmtId="0" fontId="12" fillId="3" borderId="31" xfId="2" applyFont="1" applyBorder="1" applyAlignment="1">
      <alignment horizontal="center" vertical="center"/>
    </xf>
    <xf numFmtId="0" fontId="12" fillId="3" borderId="32" xfId="2" applyFont="1" applyBorder="1" applyAlignment="1">
      <alignment horizontal="center" vertical="center"/>
    </xf>
    <xf numFmtId="0" fontId="12" fillId="3" borderId="33" xfId="2" applyFont="1" applyBorder="1" applyAlignment="1">
      <alignment horizontal="center" vertical="center"/>
    </xf>
    <xf numFmtId="0" fontId="7" fillId="7" borderId="22" xfId="5" applyFill="1" applyBorder="1" applyAlignment="1">
      <alignment horizontal="center" vertical="center"/>
    </xf>
    <xf numFmtId="0" fontId="7" fillId="7" borderId="23" xfId="5" applyFill="1" applyBorder="1" applyAlignment="1">
      <alignment horizontal="center" vertical="center"/>
    </xf>
    <xf numFmtId="0" fontId="7" fillId="7" borderId="24" xfId="5" applyFill="1" applyBorder="1" applyAlignment="1">
      <alignment horizontal="center" vertical="center"/>
    </xf>
    <xf numFmtId="0" fontId="6" fillId="4" borderId="20" xfId="4" applyFill="1" applyBorder="1" applyAlignment="1">
      <alignment horizontal="center" vertical="center"/>
    </xf>
    <xf numFmtId="0" fontId="6" fillId="4" borderId="20" xfId="4" applyFill="1" applyBorder="1" applyAlignment="1">
      <alignment horizontal="center"/>
    </xf>
    <xf numFmtId="0" fontId="3" fillId="6" borderId="20" xfId="6" applyBorder="1" applyAlignment="1">
      <alignment horizontal="center" vertical="center"/>
    </xf>
    <xf numFmtId="0" fontId="3" fillId="6" borderId="20" xfId="6" applyBorder="1" applyAlignment="1">
      <alignment horizontal="center"/>
    </xf>
    <xf numFmtId="0" fontId="0" fillId="8" borderId="20" xfId="0" applyFill="1" applyBorder="1" applyAlignment="1">
      <alignment horizontal="center" vertical="center"/>
    </xf>
    <xf numFmtId="0" fontId="0" fillId="8" borderId="20" xfId="0" applyFill="1" applyBorder="1" applyAlignment="1">
      <alignment horizontal="center"/>
    </xf>
    <xf numFmtId="0" fontId="7" fillId="7" borderId="18" xfId="5" applyFill="1" applyBorder="1" applyAlignment="1">
      <alignment horizontal="center" vertical="center"/>
    </xf>
    <xf numFmtId="0" fontId="7" fillId="7" borderId="19" xfId="5" applyFill="1" applyBorder="1" applyAlignment="1">
      <alignment horizontal="center" vertical="center"/>
    </xf>
    <xf numFmtId="0" fontId="0" fillId="8" borderId="31" xfId="0" applyFill="1" applyBorder="1" applyAlignment="1">
      <alignment horizontal="center"/>
    </xf>
    <xf numFmtId="0" fontId="0" fillId="8" borderId="32" xfId="0" applyFill="1" applyBorder="1" applyAlignment="1">
      <alignment horizontal="center"/>
    </xf>
    <xf numFmtId="0" fontId="0" fillId="8" borderId="33" xfId="0" applyFill="1" applyBorder="1" applyAlignment="1">
      <alignment horizontal="center"/>
    </xf>
    <xf numFmtId="0" fontId="0" fillId="0" borderId="34" xfId="0" applyBorder="1"/>
    <xf numFmtId="0" fontId="0" fillId="0" borderId="35" xfId="0" applyBorder="1"/>
    <xf numFmtId="0" fontId="12" fillId="3" borderId="36" xfId="2" applyFont="1" applyBorder="1" applyAlignment="1">
      <alignment horizontal="center" vertical="center"/>
    </xf>
    <xf numFmtId="0" fontId="12" fillId="3" borderId="37" xfId="2" applyFont="1" applyBorder="1" applyAlignment="1">
      <alignment horizontal="center" vertical="center"/>
    </xf>
    <xf numFmtId="0" fontId="12" fillId="3" borderId="38" xfId="2" applyFont="1" applyBorder="1" applyAlignment="1">
      <alignment horizontal="center" vertical="center"/>
    </xf>
    <xf numFmtId="0" fontId="0" fillId="0" borderId="39" xfId="0" applyBorder="1"/>
    <xf numFmtId="0" fontId="0" fillId="0" borderId="40" xfId="0" applyBorder="1"/>
    <xf numFmtId="0" fontId="0" fillId="0" borderId="0" xfId="0" applyBorder="1"/>
    <xf numFmtId="0" fontId="0" fillId="0" borderId="41" xfId="0" applyBorder="1"/>
    <xf numFmtId="0" fontId="0" fillId="0" borderId="0" xfId="0" applyBorder="1" applyAlignment="1">
      <alignment vertical="center"/>
    </xf>
    <xf numFmtId="0" fontId="7" fillId="0" borderId="0" xfId="0" applyFont="1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0" fillId="9" borderId="0" xfId="0" applyFill="1"/>
    <xf numFmtId="0" fontId="5" fillId="2" borderId="45" xfId="3" applyBorder="1"/>
    <xf numFmtId="0" fontId="5" fillId="9" borderId="0" xfId="3" applyFill="1" applyBorder="1"/>
    <xf numFmtId="0" fontId="0" fillId="9" borderId="0" xfId="0" applyFill="1" applyBorder="1"/>
    <xf numFmtId="0" fontId="0" fillId="0" borderId="4" xfId="0" applyBorder="1"/>
    <xf numFmtId="0" fontId="0" fillId="9" borderId="4" xfId="0" applyFill="1" applyBorder="1"/>
    <xf numFmtId="0" fontId="5" fillId="2" borderId="46" xfId="3" applyBorder="1" applyAlignment="1">
      <alignment horizontal="center" vertical="center"/>
    </xf>
    <xf numFmtId="0" fontId="5" fillId="2" borderId="11" xfId="3" applyBorder="1" applyAlignment="1">
      <alignment horizontal="center" vertical="center"/>
    </xf>
    <xf numFmtId="0" fontId="5" fillId="2" borderId="46" xfId="3" applyBorder="1" applyAlignment="1">
      <alignment horizontal="right"/>
    </xf>
    <xf numFmtId="0" fontId="5" fillId="2" borderId="11" xfId="3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41" xfId="0" applyBorder="1" applyAlignment="1">
      <alignment horizontal="right"/>
    </xf>
    <xf numFmtId="0" fontId="5" fillId="2" borderId="46" xfId="3" applyBorder="1"/>
    <xf numFmtId="0" fontId="5" fillId="2" borderId="11" xfId="3" applyBorder="1"/>
    <xf numFmtId="0" fontId="5" fillId="9" borderId="46" xfId="3" applyFill="1" applyBorder="1"/>
    <xf numFmtId="0" fontId="5" fillId="9" borderId="11" xfId="3" applyFill="1" applyBorder="1"/>
    <xf numFmtId="0" fontId="0" fillId="9" borderId="41" xfId="0" applyFill="1" applyBorder="1"/>
    <xf numFmtId="0" fontId="5" fillId="9" borderId="40" xfId="3" applyFill="1" applyBorder="1"/>
    <xf numFmtId="0" fontId="5" fillId="9" borderId="45" xfId="3" applyFill="1" applyBorder="1"/>
    <xf numFmtId="0" fontId="5" fillId="2" borderId="47" xfId="3" applyBorder="1"/>
    <xf numFmtId="0" fontId="7" fillId="7" borderId="48" xfId="5" applyFill="1" applyBorder="1" applyAlignment="1">
      <alignment horizontal="center" vertical="center"/>
    </xf>
    <xf numFmtId="0" fontId="7" fillId="7" borderId="49" xfId="5" applyFill="1" applyBorder="1" applyAlignment="1">
      <alignment horizontal="right"/>
    </xf>
  </cellXfs>
  <cellStyles count="7">
    <cellStyle name="40% - Accent4" xfId="6" builtinId="43"/>
    <cellStyle name="Bad" xfId="2" builtinId="27"/>
    <cellStyle name="Calculation" xfId="3" builtinId="22"/>
    <cellStyle name="Linked Cell" xfId="4" builtinId="24"/>
    <cellStyle name="Normal" xfId="0" builtinId="0"/>
    <cellStyle name="Output" xfId="1" builtinId="21"/>
    <cellStyle name="Total" xfId="5" builtinId="25"/>
  </cellStyles>
  <dxfs count="25"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Men vs Number of Women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Dashboard!$B$6:$C$6</c:f>
              <c:strCache>
                <c:ptCount val="2"/>
                <c:pt idx="0">
                  <c:v>Number of M</c:v>
                </c:pt>
                <c:pt idx="1">
                  <c:v>Number of F</c:v>
                </c:pt>
              </c:strCache>
            </c:strRef>
          </c:cat>
          <c:val>
            <c:numRef>
              <c:f>Dashboard!$B$7:$C$7</c:f>
              <c:numCache>
                <c:formatCode>General</c:formatCode>
                <c:ptCount val="2"/>
                <c:pt idx="0">
                  <c:v>242</c:v>
                </c:pt>
                <c:pt idx="1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3B-403E-A069-6360CF4A85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381452719"/>
        <c:axId val="381452239"/>
      </c:barChart>
      <c:catAx>
        <c:axId val="38145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52239"/>
        <c:crosses val="autoZero"/>
        <c:auto val="1"/>
        <c:lblAlgn val="ctr"/>
        <c:lblOffset val="100"/>
        <c:noMultiLvlLbl val="0"/>
      </c:catAx>
      <c:valAx>
        <c:axId val="381452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1452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rgbClr val="00206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 of People by Profession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>
              <a:gsLst>
                <a:gs pos="100000">
                  <a:schemeClr val="accent2">
                    <a:alpha val="0"/>
                  </a:schemeClr>
                </a:gs>
                <a:gs pos="50000">
                  <a:schemeClr val="accent2"/>
                </a:gs>
              </a:gsLst>
              <a:lin ang="5400000" scaled="0"/>
            </a:gra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Dashboard!$H$6:$N$6</c:f>
              <c:strCache>
                <c:ptCount val="7"/>
                <c:pt idx="0">
                  <c:v>Engineering</c:v>
                </c:pt>
                <c:pt idx="1">
                  <c:v>Healthcare</c:v>
                </c:pt>
                <c:pt idx="2">
                  <c:v>IT</c:v>
                </c:pt>
                <c:pt idx="3">
                  <c:v>Accounting</c:v>
                </c:pt>
                <c:pt idx="4">
                  <c:v>Research</c:v>
                </c:pt>
                <c:pt idx="5">
                  <c:v>Art</c:v>
                </c:pt>
                <c:pt idx="6">
                  <c:v>Other</c:v>
                </c:pt>
              </c:strCache>
            </c:strRef>
          </c:cat>
          <c:val>
            <c:numRef>
              <c:f>Dashboard!$H$7:$N$7</c:f>
              <c:numCache>
                <c:formatCode>General</c:formatCode>
                <c:ptCount val="7"/>
                <c:pt idx="0">
                  <c:v>62</c:v>
                </c:pt>
                <c:pt idx="1">
                  <c:v>75</c:v>
                </c:pt>
                <c:pt idx="2">
                  <c:v>80</c:v>
                </c:pt>
                <c:pt idx="3">
                  <c:v>68</c:v>
                </c:pt>
                <c:pt idx="4">
                  <c:v>82</c:v>
                </c:pt>
                <c:pt idx="5">
                  <c:v>62</c:v>
                </c:pt>
                <c:pt idx="6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B2-4780-A63B-A81322F4EE5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gapDepth val="0"/>
        <c:shape val="box"/>
        <c:axId val="462759103"/>
        <c:axId val="462755743"/>
        <c:axId val="0"/>
      </c:bar3DChart>
      <c:catAx>
        <c:axId val="462759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55743"/>
        <c:crosses val="autoZero"/>
        <c:auto val="1"/>
        <c:lblAlgn val="ctr"/>
        <c:lblOffset val="100"/>
        <c:noMultiLvlLbl val="0"/>
      </c:catAx>
      <c:valAx>
        <c:axId val="462755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75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accent2">
          <a:lumMod val="50000"/>
        </a:schemeClr>
      </a:solidFill>
      <a:round/>
    </a:ln>
    <a:effectLst/>
  </c:spPr>
  <c:txPr>
    <a:bodyPr/>
    <a:lstStyle/>
    <a:p>
      <a:pPr>
        <a:defRPr>
          <a:solidFill>
            <a:schemeClr val="bg1">
              <a:lumMod val="50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Income by Profession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Dashboard!$B$74:$H$74</c:f>
              <c:strCache>
                <c:ptCount val="7"/>
                <c:pt idx="0">
                  <c:v>Engineering</c:v>
                </c:pt>
                <c:pt idx="1">
                  <c:v>Healthcare</c:v>
                </c:pt>
                <c:pt idx="2">
                  <c:v>IT</c:v>
                </c:pt>
                <c:pt idx="3">
                  <c:v>Accounting</c:v>
                </c:pt>
                <c:pt idx="4">
                  <c:v>Research</c:v>
                </c:pt>
                <c:pt idx="5">
                  <c:v>Art</c:v>
                </c:pt>
                <c:pt idx="6">
                  <c:v>Other</c:v>
                </c:pt>
              </c:strCache>
            </c:strRef>
          </c:cat>
          <c:val>
            <c:numRef>
              <c:f>Dashboard!$B$75:$H$75</c:f>
              <c:numCache>
                <c:formatCode>General</c:formatCode>
                <c:ptCount val="7"/>
                <c:pt idx="0">
                  <c:v>64255.112903225803</c:v>
                </c:pt>
                <c:pt idx="1">
                  <c:v>60559.026666666665</c:v>
                </c:pt>
                <c:pt idx="2">
                  <c:v>62114.425000000003</c:v>
                </c:pt>
                <c:pt idx="3">
                  <c:v>66855.823529411762</c:v>
                </c:pt>
                <c:pt idx="4">
                  <c:v>62201.195121951219</c:v>
                </c:pt>
                <c:pt idx="5">
                  <c:v>65599.403225806454</c:v>
                </c:pt>
                <c:pt idx="6">
                  <c:v>63820.916666666664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6F-4531-98DC-13A2A0DE5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553935"/>
        <c:axId val="497553455"/>
      </c:barChart>
      <c:catAx>
        <c:axId val="497553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53455"/>
        <c:crosses val="autoZero"/>
        <c:auto val="1"/>
        <c:lblAlgn val="ctr"/>
        <c:lblOffset val="100"/>
        <c:noMultiLvlLbl val="0"/>
      </c:catAx>
      <c:valAx>
        <c:axId val="497553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553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_xlchart.v1.0</cx:f>
      </cx:strDim>
      <cx:numDim type="size">
        <cx:f dir="row">_xlchart.v1.1</cx:f>
      </cx:numDim>
    </cx:data>
  </cx:chartData>
  <cx:chart>
    <cx:title pos="t" align="ctr" overlay="0">
      <cx:tx>
        <cx:txData>
          <cx:v>Number of People by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effectLst>
                <a:glow rad="63500">
                  <a:schemeClr val="accent6">
                    <a:satMod val="175000"/>
                    <a:alpha val="40000"/>
                  </a:schemeClr>
                </a:glow>
              </a:effectLst>
            </a:defRPr>
          </a:pPr>
          <a:r>
            <a:rPr lang="en-GB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effectLst>
                <a:glow rad="63500">
                  <a:schemeClr val="accent6">
                    <a:satMod val="175000"/>
                    <a:alpha val="40000"/>
                  </a:schemeClr>
                </a:glow>
              </a:effectLst>
              <a:latin typeface="Aptos Narrow" panose="02110004020202020204"/>
            </a:rPr>
            <a:t>Number of People by Area</a:t>
          </a:r>
        </a:p>
      </cx:txPr>
    </cx:title>
    <cx:plotArea>
      <cx:plotAreaRegion>
        <cx:series layoutId="treemap" uniqueId="{00000000-0356-4281-8973-3DE4168A3426}"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rgbClr val="FFFFFF"/>
                    </a:solidFill>
                    <a:effectLst>
                      <a:glow rad="63500">
                        <a:schemeClr val="accent6">
                          <a:satMod val="175000"/>
                          <a:alpha val="40000"/>
                        </a:schemeClr>
                      </a:glow>
                    </a:effectLst>
                    <a:latin typeface="Aptos Narrow" panose="020B0004020202020204" pitchFamily="34" charset="0"/>
                    <a:ea typeface="Aptos Narrow" panose="020B0004020202020204" pitchFamily="34" charset="0"/>
                    <a:cs typeface="Aptos Narrow" panose="020B0004020202020204" pitchFamily="34" charset="0"/>
                  </a:defRPr>
                </a:pPr>
                <a:endParaRPr lang="en-IN">
                  <a:effectLst>
                    <a:glow rad="63500">
                      <a:schemeClr val="accent6">
                        <a:satMod val="175000"/>
                        <a:alpha val="40000"/>
                      </a:schemeClr>
                    </a:glow>
                  </a:effectLst>
                </a:endParaRPr>
              </a:p>
            </cx:txPr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  <cx:spPr>
    <a:ln>
      <a:solidFill>
        <a:schemeClr val="bg2">
          <a:lumMod val="10000"/>
        </a:schemeClr>
      </a:solidFill>
    </a:ln>
    <a:effectLst/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</cx:f>
      </cx:strDim>
      <cx:numDim type="size">
        <cx:f dir="row">_xlchart.v1.3</cx:f>
      </cx:numDim>
    </cx:data>
  </cx:chartData>
  <cx:chart>
    <cx:title pos="t" align="ctr" overlay="0">
      <cx:tx>
        <cx:txData>
          <cx:v> Average Income by Area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Aptos Narrow" panose="02110004020202020204"/>
            </a:rPr>
            <a:t> Average Income by Area</a:t>
          </a:r>
        </a:p>
      </cx:txPr>
    </cx:title>
    <cx:plotArea>
      <cx:plotAreaRegion>
        <cx:series layoutId="treemap" uniqueId="{00000000-2403-414B-83EE-F3840D201717}"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/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alpha val="0"/>
            </a:schemeClr>
          </a:gs>
          <a:gs pos="50000">
            <a:schemeClr val="phClr"/>
          </a:gs>
        </a:gsLst>
        <a:lin ang="5400000" scaled="0"/>
      </a:gradFill>
      <a:sp3d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19843</xdr:rowOff>
    </xdr:from>
    <xdr:to>
      <xdr:col>2</xdr:col>
      <xdr:colOff>1302940</xdr:colOff>
      <xdr:row>15</xdr:row>
      <xdr:rowOff>141683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23BD74-F687-409A-A183-F99A27293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1111250</xdr:colOff>
      <xdr:row>7</xdr:row>
      <xdr:rowOff>9922</xdr:rowOff>
    </xdr:from>
    <xdr:to>
      <xdr:col>13</xdr:col>
      <xdr:colOff>833438</xdr:colOff>
      <xdr:row>15</xdr:row>
      <xdr:rowOff>158752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83B69B1-DC6E-4483-BD2A-5F2E64D90F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605233</xdr:colOff>
      <xdr:row>22</xdr:row>
      <xdr:rowOff>0</xdr:rowOff>
    </xdr:from>
    <xdr:to>
      <xdr:col>28</xdr:col>
      <xdr:colOff>744140</xdr:colOff>
      <xdr:row>32</xdr:row>
      <xdr:rowOff>178594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9B0D84CB-50B2-4F2C-8180-E627E52115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5233" y="5199063"/>
              <a:ext cx="26302891" cy="206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601265</xdr:colOff>
      <xdr:row>52</xdr:row>
      <xdr:rowOff>17463</xdr:rowOff>
    </xdr:from>
    <xdr:to>
      <xdr:col>28</xdr:col>
      <xdr:colOff>744141</xdr:colOff>
      <xdr:row>63</xdr:row>
      <xdr:rowOff>19243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D2845411-67D7-7EAB-5EF9-36F651ED49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1265" y="11178069"/>
              <a:ext cx="26331815" cy="2012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599349</xdr:colOff>
      <xdr:row>75</xdr:row>
      <xdr:rowOff>4233</xdr:rowOff>
    </xdr:from>
    <xdr:to>
      <xdr:col>8</xdr:col>
      <xdr:colOff>-1</xdr:colOff>
      <xdr:row>84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A26B77-149E-55E0-724E-A461015685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670966-5371-4CA3-9046-B93D1915C543}" name="Table1" displayName="Table1" ref="B6:U507" totalsRowShown="0" headerRowDxfId="24" dataDxfId="22" headerRowBorderDxfId="23" tableBorderDxfId="21" totalsRowBorderDxfId="20">
  <autoFilter ref="B6:U507" xr:uid="{F3670966-5371-4CA3-9046-B93D1915C543}"/>
  <tableColumns count="20">
    <tableColumn id="1" xr3:uid="{BE18DA39-3039-4A0D-84A8-8BCC5BC494A9}" name="Gender" dataDxfId="19">
      <calculatedColumnFormula>IF(A7=1,"M","F")</calculatedColumnFormula>
    </tableColumn>
    <tableColumn id="2" xr3:uid="{BB941831-B9FC-4DD8-A1F9-75747AEB8F79}" name="Column1" dataDxfId="18">
      <calculatedColumnFormula>RANDBETWEEN(1,7)</calculatedColumnFormula>
    </tableColumn>
    <tableColumn id="20" xr3:uid="{8B3988CA-0E8B-4641-AF1C-C79A1115DD9A}" name="Age" dataDxfId="17">
      <calculatedColumnFormula>RANDBETWEEN(18,45)</calculatedColumnFormula>
    </tableColumn>
    <tableColumn id="3" xr3:uid="{5E540E0C-F592-4CC4-8688-C1694075C010}" name="Field Of Work" dataDxfId="16">
      <calculatedColumnFormula>VLOOKUP(C7,$Y$7:$Z$13,2)</calculatedColumnFormula>
    </tableColumn>
    <tableColumn id="4" xr3:uid="{36C14AA7-099B-4B8A-BF17-F4CF4A649166}" name="Column2" dataDxfId="15">
      <calculatedColumnFormula>RANDBETWEEN(1,7)</calculatedColumnFormula>
    </tableColumn>
    <tableColumn id="5" xr3:uid="{404BE5A8-FF81-40D4-9791-590B3C97B2FC}" name="Education" dataDxfId="14">
      <calculatedColumnFormula>VLOOKUP(F7,$AB$7:$AC$13,2)</calculatedColumnFormula>
    </tableColumn>
    <tableColumn id="6" xr3:uid="{0EB08A45-755C-41E2-B134-D9828A394DA6}" name="Kids" dataDxfId="13">
      <calculatedColumnFormula>RANDBETWEEN(0,4)</calculatedColumnFormula>
    </tableColumn>
    <tableColumn id="7" xr3:uid="{EF7FAE3A-0A25-46C0-BA3E-D7B431344049}" name="Cars" dataDxfId="12">
      <calculatedColumnFormula>RANDBETWEEN(0,3)</calculatedColumnFormula>
    </tableColumn>
    <tableColumn id="8" xr3:uid="{05A4900B-00FB-4D71-970C-E9A45B3709A7}" name="Column3" dataDxfId="11">
      <calculatedColumnFormula>RANDBETWEEN(1,28)</calculatedColumnFormula>
    </tableColumn>
    <tableColumn id="9" xr3:uid="{81ABB7E4-0AC5-44D1-93EA-B51694D63BA5}" name="Area" dataDxfId="10">
      <calculatedColumnFormula>VLOOKUP(J7,$AE$7:$AF$34,2)</calculatedColumnFormula>
    </tableColumn>
    <tableColumn id="10" xr3:uid="{9290728D-351A-457E-B433-390A99EA9DF2}" name="Income" dataDxfId="9">
      <calculatedColumnFormula>RANDBETWEEN(25000,99000)</calculatedColumnFormula>
    </tableColumn>
    <tableColumn id="11" xr3:uid="{EEF50543-2A24-401A-9C6F-919DA9B0D74F}" name="Value Of House" dataDxfId="8">
      <calculatedColumnFormula>L7*RANDBETWEEN(5,9)</calculatedColumnFormula>
    </tableColumn>
    <tableColumn id="12" xr3:uid="{98AFC038-D75E-431C-B025-BEBD9157FB11}" name="Mortgage Left" dataDxfId="7">
      <calculatedColumnFormula>RAND()*M7</calculatedColumnFormula>
    </tableColumn>
    <tableColumn id="13" xr3:uid="{7099CE96-3791-4DCE-990E-C94E5CB8A99F}" name="Car Value" dataDxfId="6">
      <calculatedColumnFormula>RAND()*I7*L7</calculatedColumnFormula>
    </tableColumn>
    <tableColumn id="14" xr3:uid="{E6533048-BE2B-455A-A9C1-830FA66F4975}" name="Car Payment Left" dataDxfId="5">
      <calculatedColumnFormula>O7*RAND()</calculatedColumnFormula>
    </tableColumn>
    <tableColumn id="15" xr3:uid="{8ED39533-33DF-4F4A-8C1C-E23C05604D6C}" name="Debts" dataDxfId="4">
      <calculatedColumnFormula>RAND()*L7</calculatedColumnFormula>
    </tableColumn>
    <tableColumn id="16" xr3:uid="{EDE9CE59-C9B6-462C-AC50-405751DF53E8}" name="Investments" dataDxfId="3">
      <calculatedColumnFormula>RAND()*L7</calculatedColumnFormula>
    </tableColumn>
    <tableColumn id="17" xr3:uid="{6937240D-0979-4088-9B6D-83BBB110D84F}" name="Total Assets" dataDxfId="2">
      <calculatedColumnFormula>M7+O7+R7</calculatedColumnFormula>
    </tableColumn>
    <tableColumn id="18" xr3:uid="{AACD416D-F947-4B60-AFC0-D21210210479}" name="Total Liabilities " dataDxfId="1">
      <calculatedColumnFormula>N7+P7+Q7</calculatedColumnFormula>
    </tableColumn>
    <tableColumn id="19" xr3:uid="{412A68E5-A41B-4682-A1C1-8A4B47395178}" name="Net Worth" dataDxfId="0">
      <calculatedColumnFormula>S7-T7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5AE0-5AFA-4FEA-A635-FBB62D730D02}">
  <dimension ref="A2:AF507"/>
  <sheetViews>
    <sheetView topLeftCell="B1" zoomScale="67" zoomScaleNormal="67" workbookViewId="0">
      <selection activeCell="H7" sqref="H7"/>
    </sheetView>
  </sheetViews>
  <sheetFormatPr defaultRowHeight="14.5" x14ac:dyDescent="0.35"/>
  <cols>
    <col min="1" max="1" width="0" hidden="1" customWidth="1"/>
    <col min="2" max="2" width="8.7265625" style="2"/>
    <col min="3" max="3" width="8.7265625" style="2" hidden="1" customWidth="1"/>
    <col min="4" max="4" width="8.7265625" style="2" customWidth="1"/>
    <col min="5" max="5" width="13.54296875" style="2" customWidth="1"/>
    <col min="6" max="6" width="0" style="2" hidden="1" customWidth="1"/>
    <col min="7" max="7" width="14.81640625" style="2" bestFit="1" customWidth="1"/>
    <col min="8" max="9" width="8.7265625" style="2"/>
    <col min="10" max="10" width="0" style="2" hidden="1" customWidth="1"/>
    <col min="11" max="11" width="16.08984375" style="2" bestFit="1" customWidth="1"/>
    <col min="12" max="12" width="8.81640625" style="2" customWidth="1"/>
    <col min="13" max="13" width="15.1796875" style="2" customWidth="1"/>
    <col min="14" max="14" width="19.36328125" style="2" customWidth="1"/>
    <col min="15" max="15" width="10.6328125" style="2" customWidth="1"/>
    <col min="16" max="16" width="16.6328125" style="2" customWidth="1"/>
    <col min="17" max="17" width="8.7265625" style="2"/>
    <col min="18" max="18" width="12.7265625" style="2" customWidth="1"/>
    <col min="19" max="19" width="12.6328125" style="2" customWidth="1"/>
    <col min="20" max="20" width="15.26953125" style="2" customWidth="1"/>
    <col min="21" max="21" width="11" style="2" customWidth="1"/>
    <col min="25" max="26" width="8.7265625" customWidth="1"/>
    <col min="28" max="29" width="8.7265625" customWidth="1"/>
    <col min="31" max="32" width="8.7265625" customWidth="1"/>
  </cols>
  <sheetData>
    <row r="2" spans="1:32" x14ac:dyDescent="0.35">
      <c r="M2" s="29" t="s">
        <v>60</v>
      </c>
      <c r="N2" s="30"/>
    </row>
    <row r="3" spans="1:32" x14ac:dyDescent="0.35">
      <c r="M3" s="30"/>
      <c r="N3" s="30"/>
    </row>
    <row r="6" spans="1:32" s="1" customFormat="1" x14ac:dyDescent="0.35">
      <c r="B6" s="6" t="s">
        <v>0</v>
      </c>
      <c r="C6" s="7" t="s">
        <v>57</v>
      </c>
      <c r="D6" s="7" t="s">
        <v>65</v>
      </c>
      <c r="E6" s="7" t="s">
        <v>1</v>
      </c>
      <c r="F6" s="7" t="s">
        <v>58</v>
      </c>
      <c r="G6" s="7" t="s">
        <v>9</v>
      </c>
      <c r="H6" s="7" t="s">
        <v>16</v>
      </c>
      <c r="I6" s="7" t="s">
        <v>17</v>
      </c>
      <c r="J6" s="7" t="s">
        <v>59</v>
      </c>
      <c r="K6" s="7" t="s">
        <v>18</v>
      </c>
      <c r="L6" s="7" t="s">
        <v>47</v>
      </c>
      <c r="M6" s="7" t="s">
        <v>48</v>
      </c>
      <c r="N6" s="7" t="s">
        <v>49</v>
      </c>
      <c r="O6" s="7" t="s">
        <v>50</v>
      </c>
      <c r="P6" s="7" t="s">
        <v>51</v>
      </c>
      <c r="Q6" s="7" t="s">
        <v>52</v>
      </c>
      <c r="R6" s="7" t="s">
        <v>53</v>
      </c>
      <c r="S6" s="7" t="s">
        <v>54</v>
      </c>
      <c r="T6" s="7" t="s">
        <v>55</v>
      </c>
      <c r="U6" s="8" t="s">
        <v>56</v>
      </c>
      <c r="Y6" s="28" t="s">
        <v>1</v>
      </c>
      <c r="Z6" s="28"/>
      <c r="AB6" s="28" t="s">
        <v>9</v>
      </c>
      <c r="AC6" s="28"/>
      <c r="AE6" s="28" t="s">
        <v>18</v>
      </c>
      <c r="AF6" s="28"/>
    </row>
    <row r="7" spans="1:32" x14ac:dyDescent="0.35">
      <c r="A7">
        <f ca="1">RANDBETWEEN(1,2)</f>
        <v>1</v>
      </c>
      <c r="B7" s="4" t="str">
        <f t="shared" ref="B7:B70" ca="1" si="0">IF(A7=1,"M","F")</f>
        <v>M</v>
      </c>
      <c r="C7" s="3">
        <f ca="1">RANDBETWEEN(1,7)</f>
        <v>7</v>
      </c>
      <c r="D7" s="3">
        <f t="shared" ref="D7:D70" ca="1" si="1">RANDBETWEEN(18,45)</f>
        <v>40</v>
      </c>
      <c r="E7" s="3" t="str">
        <f ca="1">VLOOKUP(C7,$Y$7:$Z$13,2)</f>
        <v>Other</v>
      </c>
      <c r="F7" s="3">
        <f ca="1">RANDBETWEEN(1,7)</f>
        <v>4</v>
      </c>
      <c r="G7" s="3" t="str">
        <f ca="1">VLOOKUP(F7,$AB$7:$AC$13,2)</f>
        <v>PG</v>
      </c>
      <c r="H7" s="3">
        <f ca="1">RANDBETWEEN(0,4)</f>
        <v>3</v>
      </c>
      <c r="I7" s="3">
        <f ca="1">RANDBETWEEN(0,3)</f>
        <v>1</v>
      </c>
      <c r="J7" s="3">
        <f ca="1">RANDBETWEEN(1,28)</f>
        <v>20</v>
      </c>
      <c r="K7" s="3" t="str">
        <f ca="1">VLOOKUP(J7,$AE$7:$AF$34,2)</f>
        <v>Nagaland</v>
      </c>
      <c r="L7" s="3">
        <f ca="1">RANDBETWEEN(25000,99000)</f>
        <v>37019</v>
      </c>
      <c r="M7" s="3">
        <f ca="1">L7*RANDBETWEEN(5,9)</f>
        <v>296152</v>
      </c>
      <c r="N7" s="3">
        <f ca="1">RAND()*M7</f>
        <v>286301.48569228133</v>
      </c>
      <c r="O7" s="3">
        <f ca="1">RAND()*I7*L7</f>
        <v>26911.521829073808</v>
      </c>
      <c r="P7" s="3">
        <f ca="1">O7*RAND()</f>
        <v>12304.765308372111</v>
      </c>
      <c r="Q7" s="3">
        <f ca="1">RAND()*L7</f>
        <v>213.461940711121</v>
      </c>
      <c r="R7" s="3">
        <f ca="1">RAND()*L7</f>
        <v>7004.4437615543329</v>
      </c>
      <c r="S7" s="3">
        <f ca="1">M7+O7+R7</f>
        <v>330067.9655906281</v>
      </c>
      <c r="T7" s="3">
        <f ca="1">N7+P7+Q7</f>
        <v>298819.71294136456</v>
      </c>
      <c r="U7" s="5">
        <f ca="1">S7-T7</f>
        <v>31248.252649263537</v>
      </c>
      <c r="Y7">
        <v>1</v>
      </c>
      <c r="Z7" t="s">
        <v>2</v>
      </c>
      <c r="AB7">
        <v>1</v>
      </c>
      <c r="AC7" t="s">
        <v>10</v>
      </c>
      <c r="AE7">
        <v>1</v>
      </c>
      <c r="AF7" t="s">
        <v>19</v>
      </c>
    </row>
    <row r="8" spans="1:32" x14ac:dyDescent="0.35">
      <c r="A8">
        <f t="shared" ref="A8:A71" ca="1" si="2">RANDBETWEEN(1,2)</f>
        <v>2</v>
      </c>
      <c r="B8" s="4" t="str">
        <f t="shared" ca="1" si="0"/>
        <v>F</v>
      </c>
      <c r="C8" s="3">
        <f t="shared" ref="C8:C71" ca="1" si="3">RANDBETWEEN(1,7)</f>
        <v>6</v>
      </c>
      <c r="D8" s="3">
        <f t="shared" ca="1" si="1"/>
        <v>38</v>
      </c>
      <c r="E8" s="3" t="str">
        <f t="shared" ref="E8:E71" ca="1" si="4">VLOOKUP(C8,$Y$7:$Z$13,2)</f>
        <v>Art</v>
      </c>
      <c r="F8" s="3">
        <f t="shared" ref="F8:F71" ca="1" si="5">RANDBETWEEN(1,7)</f>
        <v>4</v>
      </c>
      <c r="G8" s="3" t="str">
        <f t="shared" ref="G8:G71" ca="1" si="6">VLOOKUP(F8,$AB$7:$AC$13,2)</f>
        <v>PG</v>
      </c>
      <c r="H8" s="3">
        <f t="shared" ref="H8:H71" ca="1" si="7">RANDBETWEEN(0,4)</f>
        <v>4</v>
      </c>
      <c r="I8" s="3">
        <f t="shared" ref="I8:I71" ca="1" si="8">RANDBETWEEN(0,3)</f>
        <v>1</v>
      </c>
      <c r="J8" s="3">
        <f t="shared" ref="J8:J71" ca="1" si="9">RANDBETWEEN(1,28)</f>
        <v>7</v>
      </c>
      <c r="K8" s="3" t="str">
        <f t="shared" ref="K8:K71" ca="1" si="10">VLOOKUP(J8,$AE$7:$AF$34,2)</f>
        <v>Assam</v>
      </c>
      <c r="L8" s="3">
        <f t="shared" ref="L8:L71" ca="1" si="11">RANDBETWEEN(25000,99000)</f>
        <v>61650</v>
      </c>
      <c r="M8" s="3">
        <f t="shared" ref="M8:M71" ca="1" si="12">L8*RANDBETWEEN(5,9)</f>
        <v>554850</v>
      </c>
      <c r="N8" s="3">
        <f t="shared" ref="N8:N71" ca="1" si="13">RAND()*M8</f>
        <v>478311.92050452204</v>
      </c>
      <c r="O8" s="3">
        <f t="shared" ref="O8:O71" ca="1" si="14">RAND()*I8*L8</f>
        <v>32069.756046465496</v>
      </c>
      <c r="P8" s="3">
        <f t="shared" ref="P8:P71" ca="1" si="15">O8*RAND()</f>
        <v>28643.235507460704</v>
      </c>
      <c r="Q8" s="3">
        <f t="shared" ref="Q8:Q71" ca="1" si="16">RAND()*L8</f>
        <v>24145.096056057526</v>
      </c>
      <c r="R8" s="3">
        <f t="shared" ref="R8:R71" ca="1" si="17">RAND()*L8</f>
        <v>23801.703841184422</v>
      </c>
      <c r="S8" s="3">
        <f t="shared" ref="S8:S71" ca="1" si="18">M8+O8+R8</f>
        <v>610721.45988764986</v>
      </c>
      <c r="T8" s="3">
        <f t="shared" ref="T8:T71" ca="1" si="19">N8+P8+Q8</f>
        <v>531100.25206804031</v>
      </c>
      <c r="U8" s="5">
        <f t="shared" ref="U8:U71" ca="1" si="20">S8-T8</f>
        <v>79621.207819609554</v>
      </c>
      <c r="Y8">
        <v>2</v>
      </c>
      <c r="Z8" t="s">
        <v>6</v>
      </c>
      <c r="AB8">
        <v>2</v>
      </c>
      <c r="AC8" t="s">
        <v>11</v>
      </c>
      <c r="AE8">
        <v>2</v>
      </c>
      <c r="AF8" t="s">
        <v>26</v>
      </c>
    </row>
    <row r="9" spans="1:32" x14ac:dyDescent="0.35">
      <c r="A9">
        <f t="shared" ca="1" si="2"/>
        <v>2</v>
      </c>
      <c r="B9" s="4" t="str">
        <f t="shared" ca="1" si="0"/>
        <v>F</v>
      </c>
      <c r="C9" s="3">
        <f t="shared" ca="1" si="3"/>
        <v>1</v>
      </c>
      <c r="D9" s="3">
        <f t="shared" ca="1" si="1"/>
        <v>25</v>
      </c>
      <c r="E9" s="3" t="str">
        <f t="shared" ca="1" si="4"/>
        <v>Engineering</v>
      </c>
      <c r="F9" s="3">
        <f t="shared" ca="1" si="5"/>
        <v>6</v>
      </c>
      <c r="G9" s="3" t="str">
        <f t="shared" ca="1" si="6"/>
        <v>Doctorate</v>
      </c>
      <c r="H9" s="3">
        <f t="shared" ca="1" si="7"/>
        <v>0</v>
      </c>
      <c r="I9" s="3">
        <f t="shared" ca="1" si="8"/>
        <v>0</v>
      </c>
      <c r="J9" s="3">
        <f t="shared" ca="1" si="9"/>
        <v>25</v>
      </c>
      <c r="K9" s="3" t="str">
        <f t="shared" ca="1" si="10"/>
        <v>Telangana</v>
      </c>
      <c r="L9" s="3">
        <f t="shared" ca="1" si="11"/>
        <v>84621</v>
      </c>
      <c r="M9" s="3">
        <f t="shared" ca="1" si="12"/>
        <v>507726</v>
      </c>
      <c r="N9" s="3">
        <f t="shared" ca="1" si="13"/>
        <v>226283.11449032568</v>
      </c>
      <c r="O9" s="3">
        <f t="shared" ca="1" si="14"/>
        <v>0</v>
      </c>
      <c r="P9" s="3">
        <f t="shared" ca="1" si="15"/>
        <v>0</v>
      </c>
      <c r="Q9" s="3">
        <f t="shared" ca="1" si="16"/>
        <v>57143.754128864173</v>
      </c>
      <c r="R9" s="3">
        <f t="shared" ca="1" si="17"/>
        <v>25161.764110274478</v>
      </c>
      <c r="S9" s="3">
        <f t="shared" ca="1" si="18"/>
        <v>532887.7641102745</v>
      </c>
      <c r="T9" s="3">
        <f t="shared" ca="1" si="19"/>
        <v>283426.86861918983</v>
      </c>
      <c r="U9" s="5">
        <f t="shared" ca="1" si="20"/>
        <v>249460.89549108467</v>
      </c>
      <c r="Y9">
        <v>3</v>
      </c>
      <c r="Z9" t="s">
        <v>3</v>
      </c>
      <c r="AB9">
        <v>3</v>
      </c>
      <c r="AC9" t="s">
        <v>12</v>
      </c>
      <c r="AE9">
        <v>3</v>
      </c>
      <c r="AF9" t="s">
        <v>20</v>
      </c>
    </row>
    <row r="10" spans="1:32" x14ac:dyDescent="0.35">
      <c r="A10">
        <f t="shared" ca="1" si="2"/>
        <v>2</v>
      </c>
      <c r="B10" s="4" t="str">
        <f t="shared" ca="1" si="0"/>
        <v>F</v>
      </c>
      <c r="C10" s="3">
        <f t="shared" ca="1" si="3"/>
        <v>7</v>
      </c>
      <c r="D10" s="3">
        <f t="shared" ca="1" si="1"/>
        <v>21</v>
      </c>
      <c r="E10" s="3" t="str">
        <f t="shared" ca="1" si="4"/>
        <v>Other</v>
      </c>
      <c r="F10" s="3">
        <f t="shared" ca="1" si="5"/>
        <v>7</v>
      </c>
      <c r="G10" s="3" t="str">
        <f t="shared" ca="1" si="6"/>
        <v>Other</v>
      </c>
      <c r="H10" s="3">
        <f t="shared" ca="1" si="7"/>
        <v>3</v>
      </c>
      <c r="I10" s="3">
        <f t="shared" ca="1" si="8"/>
        <v>3</v>
      </c>
      <c r="J10" s="3">
        <f t="shared" ca="1" si="9"/>
        <v>5</v>
      </c>
      <c r="K10" s="3" t="str">
        <f t="shared" ca="1" si="10"/>
        <v>Andhra Pradesh</v>
      </c>
      <c r="L10" s="3">
        <f t="shared" ca="1" si="11"/>
        <v>28542</v>
      </c>
      <c r="M10" s="3">
        <f t="shared" ca="1" si="12"/>
        <v>256878</v>
      </c>
      <c r="N10" s="3">
        <f t="shared" ca="1" si="13"/>
        <v>180844.5015298191</v>
      </c>
      <c r="O10" s="3">
        <f t="shared" ca="1" si="14"/>
        <v>66923.496720629599</v>
      </c>
      <c r="P10" s="3">
        <f t="shared" ca="1" si="15"/>
        <v>19635.756556193966</v>
      </c>
      <c r="Q10" s="3">
        <f t="shared" ca="1" si="16"/>
        <v>15127.08128015426</v>
      </c>
      <c r="R10" s="3">
        <f t="shared" ca="1" si="17"/>
        <v>8420.886234498852</v>
      </c>
      <c r="S10" s="3">
        <f t="shared" ca="1" si="18"/>
        <v>332222.3829551285</v>
      </c>
      <c r="T10" s="3">
        <f t="shared" ca="1" si="19"/>
        <v>215607.33936616732</v>
      </c>
      <c r="U10" s="5">
        <f t="shared" ca="1" si="20"/>
        <v>116615.04358896118</v>
      </c>
      <c r="Y10">
        <v>4</v>
      </c>
      <c r="Z10" t="s">
        <v>4</v>
      </c>
      <c r="AB10">
        <v>4</v>
      </c>
      <c r="AC10" t="s">
        <v>13</v>
      </c>
      <c r="AE10">
        <v>4</v>
      </c>
      <c r="AF10" t="s">
        <v>21</v>
      </c>
    </row>
    <row r="11" spans="1:32" x14ac:dyDescent="0.35">
      <c r="A11">
        <f t="shared" ca="1" si="2"/>
        <v>1</v>
      </c>
      <c r="B11" s="4" t="str">
        <f t="shared" ca="1" si="0"/>
        <v>M</v>
      </c>
      <c r="C11" s="3">
        <f t="shared" ca="1" si="3"/>
        <v>7</v>
      </c>
      <c r="D11" s="3">
        <f t="shared" ca="1" si="1"/>
        <v>21</v>
      </c>
      <c r="E11" s="3" t="str">
        <f t="shared" ca="1" si="4"/>
        <v>Other</v>
      </c>
      <c r="F11" s="3">
        <f t="shared" ca="1" si="5"/>
        <v>2</v>
      </c>
      <c r="G11" s="3" t="str">
        <f t="shared" ca="1" si="6"/>
        <v>Senior Secondary</v>
      </c>
      <c r="H11" s="3">
        <f t="shared" ca="1" si="7"/>
        <v>4</v>
      </c>
      <c r="I11" s="3">
        <f t="shared" ca="1" si="8"/>
        <v>1</v>
      </c>
      <c r="J11" s="3">
        <f t="shared" ca="1" si="9"/>
        <v>21</v>
      </c>
      <c r="K11" s="3" t="str">
        <f t="shared" ca="1" si="10"/>
        <v>Odisha</v>
      </c>
      <c r="L11" s="3">
        <f t="shared" ca="1" si="11"/>
        <v>53641</v>
      </c>
      <c r="M11" s="3">
        <f t="shared" ca="1" si="12"/>
        <v>429128</v>
      </c>
      <c r="N11" s="3">
        <f t="shared" ca="1" si="13"/>
        <v>264389.02049620938</v>
      </c>
      <c r="O11" s="3">
        <f t="shared" ca="1" si="14"/>
        <v>5371.6183731188166</v>
      </c>
      <c r="P11" s="3">
        <f t="shared" ca="1" si="15"/>
        <v>611.4094327236545</v>
      </c>
      <c r="Q11" s="3">
        <f t="shared" ca="1" si="16"/>
        <v>19134.350708276474</v>
      </c>
      <c r="R11" s="3">
        <f t="shared" ca="1" si="17"/>
        <v>21563.429652053648</v>
      </c>
      <c r="S11" s="3">
        <f t="shared" ca="1" si="18"/>
        <v>456063.04802517244</v>
      </c>
      <c r="T11" s="3">
        <f t="shared" ca="1" si="19"/>
        <v>284134.78063720954</v>
      </c>
      <c r="U11" s="5">
        <f t="shared" ca="1" si="20"/>
        <v>171928.2673879629</v>
      </c>
      <c r="Y11">
        <v>5</v>
      </c>
      <c r="Z11" t="s">
        <v>5</v>
      </c>
      <c r="AB11">
        <v>5</v>
      </c>
      <c r="AC11" t="s">
        <v>14</v>
      </c>
      <c r="AE11">
        <v>5</v>
      </c>
      <c r="AF11" t="s">
        <v>22</v>
      </c>
    </row>
    <row r="12" spans="1:32" x14ac:dyDescent="0.35">
      <c r="A12">
        <f t="shared" ca="1" si="2"/>
        <v>2</v>
      </c>
      <c r="B12" s="4" t="str">
        <f t="shared" ca="1" si="0"/>
        <v>F</v>
      </c>
      <c r="C12" s="3">
        <f t="shared" ca="1" si="3"/>
        <v>6</v>
      </c>
      <c r="D12" s="3">
        <f t="shared" ca="1" si="1"/>
        <v>35</v>
      </c>
      <c r="E12" s="3" t="str">
        <f t="shared" ca="1" si="4"/>
        <v>Art</v>
      </c>
      <c r="F12" s="3">
        <f t="shared" ca="1" si="5"/>
        <v>3</v>
      </c>
      <c r="G12" s="3" t="str">
        <f t="shared" ca="1" si="6"/>
        <v>UG</v>
      </c>
      <c r="H12" s="3">
        <f t="shared" ca="1" si="7"/>
        <v>2</v>
      </c>
      <c r="I12" s="3">
        <f t="shared" ca="1" si="8"/>
        <v>2</v>
      </c>
      <c r="J12" s="3">
        <f t="shared" ca="1" si="9"/>
        <v>22</v>
      </c>
      <c r="K12" s="3" t="str">
        <f t="shared" ca="1" si="10"/>
        <v>Rajasthan</v>
      </c>
      <c r="L12" s="3">
        <f t="shared" ca="1" si="11"/>
        <v>49963</v>
      </c>
      <c r="M12" s="3">
        <f t="shared" ca="1" si="12"/>
        <v>399704</v>
      </c>
      <c r="N12" s="3">
        <f t="shared" ca="1" si="13"/>
        <v>51301.644584255126</v>
      </c>
      <c r="O12" s="3">
        <f t="shared" ca="1" si="14"/>
        <v>67299.365313674323</v>
      </c>
      <c r="P12" s="3">
        <f t="shared" ca="1" si="15"/>
        <v>19265.575251848029</v>
      </c>
      <c r="Q12" s="3">
        <f t="shared" ca="1" si="16"/>
        <v>18926.675287627742</v>
      </c>
      <c r="R12" s="3">
        <f t="shared" ca="1" si="17"/>
        <v>2355.4635682229527</v>
      </c>
      <c r="S12" s="3">
        <f t="shared" ca="1" si="18"/>
        <v>469358.82888189727</v>
      </c>
      <c r="T12" s="3">
        <f t="shared" ca="1" si="19"/>
        <v>89493.895123730894</v>
      </c>
      <c r="U12" s="5">
        <f t="shared" ca="1" si="20"/>
        <v>379864.93375816639</v>
      </c>
      <c r="Y12">
        <v>6</v>
      </c>
      <c r="Z12" t="s">
        <v>7</v>
      </c>
      <c r="AB12">
        <v>6</v>
      </c>
      <c r="AC12" t="s">
        <v>15</v>
      </c>
      <c r="AE12">
        <v>6</v>
      </c>
      <c r="AF12" t="s">
        <v>23</v>
      </c>
    </row>
    <row r="13" spans="1:32" x14ac:dyDescent="0.35">
      <c r="A13">
        <f t="shared" ca="1" si="2"/>
        <v>2</v>
      </c>
      <c r="B13" s="4" t="str">
        <f t="shared" ca="1" si="0"/>
        <v>F</v>
      </c>
      <c r="C13" s="3">
        <f t="shared" ca="1" si="3"/>
        <v>7</v>
      </c>
      <c r="D13" s="3">
        <f t="shared" ca="1" si="1"/>
        <v>39</v>
      </c>
      <c r="E13" s="3" t="str">
        <f t="shared" ca="1" si="4"/>
        <v>Other</v>
      </c>
      <c r="F13" s="3">
        <f t="shared" ca="1" si="5"/>
        <v>6</v>
      </c>
      <c r="G13" s="3" t="str">
        <f t="shared" ca="1" si="6"/>
        <v>Doctorate</v>
      </c>
      <c r="H13" s="3">
        <f t="shared" ca="1" si="7"/>
        <v>2</v>
      </c>
      <c r="I13" s="3">
        <f t="shared" ca="1" si="8"/>
        <v>1</v>
      </c>
      <c r="J13" s="3">
        <f t="shared" ca="1" si="9"/>
        <v>18</v>
      </c>
      <c r="K13" s="3" t="str">
        <f t="shared" ca="1" si="10"/>
        <v>Meghalya</v>
      </c>
      <c r="L13" s="3">
        <f t="shared" ca="1" si="11"/>
        <v>72404</v>
      </c>
      <c r="M13" s="3">
        <f t="shared" ca="1" si="12"/>
        <v>651636</v>
      </c>
      <c r="N13" s="3">
        <f t="shared" ca="1" si="13"/>
        <v>548199.73047814844</v>
      </c>
      <c r="O13" s="3">
        <f t="shared" ca="1" si="14"/>
        <v>48050.537198403312</v>
      </c>
      <c r="P13" s="3">
        <f t="shared" ca="1" si="15"/>
        <v>38226.460703082194</v>
      </c>
      <c r="Q13" s="3">
        <f t="shared" ca="1" si="16"/>
        <v>61897.940101891254</v>
      </c>
      <c r="R13" s="3">
        <f t="shared" ca="1" si="17"/>
        <v>19022.125695622832</v>
      </c>
      <c r="S13" s="3">
        <f t="shared" ca="1" si="18"/>
        <v>718708.66289402614</v>
      </c>
      <c r="T13" s="3">
        <f t="shared" ca="1" si="19"/>
        <v>648324.13128312188</v>
      </c>
      <c r="U13" s="5">
        <f t="shared" ca="1" si="20"/>
        <v>70384.531610904261</v>
      </c>
      <c r="Y13">
        <v>7</v>
      </c>
      <c r="Z13" t="s">
        <v>8</v>
      </c>
      <c r="AB13">
        <v>7</v>
      </c>
      <c r="AC13" t="s">
        <v>8</v>
      </c>
      <c r="AE13">
        <v>7</v>
      </c>
      <c r="AF13" t="s">
        <v>24</v>
      </c>
    </row>
    <row r="14" spans="1:32" x14ac:dyDescent="0.35">
      <c r="A14">
        <f t="shared" ca="1" si="2"/>
        <v>1</v>
      </c>
      <c r="B14" s="4" t="str">
        <f t="shared" ca="1" si="0"/>
        <v>M</v>
      </c>
      <c r="C14" s="3">
        <f t="shared" ca="1" si="3"/>
        <v>2</v>
      </c>
      <c r="D14" s="3">
        <f t="shared" ca="1" si="1"/>
        <v>26</v>
      </c>
      <c r="E14" s="3" t="str">
        <f t="shared" ca="1" si="4"/>
        <v>Healthcare</v>
      </c>
      <c r="F14" s="3">
        <f t="shared" ca="1" si="5"/>
        <v>1</v>
      </c>
      <c r="G14" s="3" t="str">
        <f t="shared" ca="1" si="6"/>
        <v>Secondary</v>
      </c>
      <c r="H14" s="3">
        <f t="shared" ca="1" si="7"/>
        <v>3</v>
      </c>
      <c r="I14" s="3">
        <f t="shared" ca="1" si="8"/>
        <v>0</v>
      </c>
      <c r="J14" s="3">
        <f t="shared" ca="1" si="9"/>
        <v>22</v>
      </c>
      <c r="K14" s="3" t="str">
        <f t="shared" ca="1" si="10"/>
        <v>Rajasthan</v>
      </c>
      <c r="L14" s="3">
        <f t="shared" ca="1" si="11"/>
        <v>76679</v>
      </c>
      <c r="M14" s="3">
        <f t="shared" ca="1" si="12"/>
        <v>690111</v>
      </c>
      <c r="N14" s="3">
        <f t="shared" ca="1" si="13"/>
        <v>399871.76945103297</v>
      </c>
      <c r="O14" s="3">
        <f t="shared" ca="1" si="14"/>
        <v>0</v>
      </c>
      <c r="P14" s="3">
        <f t="shared" ca="1" si="15"/>
        <v>0</v>
      </c>
      <c r="Q14" s="3">
        <f t="shared" ca="1" si="16"/>
        <v>75702.723918303484</v>
      </c>
      <c r="R14" s="3">
        <f t="shared" ca="1" si="17"/>
        <v>19916.081194734419</v>
      </c>
      <c r="S14" s="3">
        <f t="shared" ca="1" si="18"/>
        <v>710027.08119473443</v>
      </c>
      <c r="T14" s="3">
        <f t="shared" ca="1" si="19"/>
        <v>475574.49336933647</v>
      </c>
      <c r="U14" s="5">
        <f t="shared" ca="1" si="20"/>
        <v>234452.58782539796</v>
      </c>
      <c r="AE14">
        <v>8</v>
      </c>
      <c r="AF14" t="s">
        <v>25</v>
      </c>
    </row>
    <row r="15" spans="1:32" x14ac:dyDescent="0.35">
      <c r="A15">
        <f t="shared" ca="1" si="2"/>
        <v>2</v>
      </c>
      <c r="B15" s="4" t="str">
        <f t="shared" ca="1" si="0"/>
        <v>F</v>
      </c>
      <c r="C15" s="3">
        <f t="shared" ca="1" si="3"/>
        <v>7</v>
      </c>
      <c r="D15" s="3">
        <f t="shared" ca="1" si="1"/>
        <v>26</v>
      </c>
      <c r="E15" s="3" t="str">
        <f t="shared" ca="1" si="4"/>
        <v>Other</v>
      </c>
      <c r="F15" s="3">
        <f t="shared" ca="1" si="5"/>
        <v>5</v>
      </c>
      <c r="G15" s="3" t="str">
        <f t="shared" ca="1" si="6"/>
        <v>Diploma</v>
      </c>
      <c r="H15" s="3">
        <f t="shared" ca="1" si="7"/>
        <v>2</v>
      </c>
      <c r="I15" s="3">
        <f t="shared" ca="1" si="8"/>
        <v>1</v>
      </c>
      <c r="J15" s="3">
        <f t="shared" ca="1" si="9"/>
        <v>24</v>
      </c>
      <c r="K15" s="3" t="str">
        <f t="shared" ca="1" si="10"/>
        <v>Tamil Nadu</v>
      </c>
      <c r="L15" s="3">
        <f t="shared" ca="1" si="11"/>
        <v>86423</v>
      </c>
      <c r="M15" s="3">
        <f t="shared" ca="1" si="12"/>
        <v>518538</v>
      </c>
      <c r="N15" s="3">
        <f t="shared" ca="1" si="13"/>
        <v>355024.73815518455</v>
      </c>
      <c r="O15" s="3">
        <f t="shared" ca="1" si="14"/>
        <v>80924.914409054938</v>
      </c>
      <c r="P15" s="3">
        <f t="shared" ca="1" si="15"/>
        <v>68559.652361882501</v>
      </c>
      <c r="Q15" s="3">
        <f t="shared" ca="1" si="16"/>
        <v>66060.147214952871</v>
      </c>
      <c r="R15" s="3">
        <f t="shared" ca="1" si="17"/>
        <v>66457.48610001069</v>
      </c>
      <c r="S15" s="3">
        <f t="shared" ca="1" si="18"/>
        <v>665920.4005090656</v>
      </c>
      <c r="T15" s="3">
        <f t="shared" ca="1" si="19"/>
        <v>489644.5377320199</v>
      </c>
      <c r="U15" s="5">
        <f t="shared" ca="1" si="20"/>
        <v>176275.8627770457</v>
      </c>
      <c r="AE15">
        <v>9</v>
      </c>
      <c r="AF15" t="s">
        <v>27</v>
      </c>
    </row>
    <row r="16" spans="1:32" x14ac:dyDescent="0.35">
      <c r="A16">
        <f t="shared" ca="1" si="2"/>
        <v>2</v>
      </c>
      <c r="B16" s="4" t="str">
        <f t="shared" ca="1" si="0"/>
        <v>F</v>
      </c>
      <c r="C16" s="3">
        <f t="shared" ca="1" si="3"/>
        <v>4</v>
      </c>
      <c r="D16" s="3">
        <f t="shared" ca="1" si="1"/>
        <v>36</v>
      </c>
      <c r="E16" s="3" t="str">
        <f t="shared" ca="1" si="4"/>
        <v>Accounting</v>
      </c>
      <c r="F16" s="3">
        <f t="shared" ca="1" si="5"/>
        <v>5</v>
      </c>
      <c r="G16" s="3" t="str">
        <f t="shared" ca="1" si="6"/>
        <v>Diploma</v>
      </c>
      <c r="H16" s="3">
        <f t="shared" ca="1" si="7"/>
        <v>0</v>
      </c>
      <c r="I16" s="3">
        <f t="shared" ca="1" si="8"/>
        <v>3</v>
      </c>
      <c r="J16" s="3">
        <f t="shared" ca="1" si="9"/>
        <v>2</v>
      </c>
      <c r="K16" s="3" t="str">
        <f t="shared" ca="1" si="10"/>
        <v>Uttar Pradesh</v>
      </c>
      <c r="L16" s="3">
        <f t="shared" ca="1" si="11"/>
        <v>88851</v>
      </c>
      <c r="M16" s="3">
        <f t="shared" ca="1" si="12"/>
        <v>444255</v>
      </c>
      <c r="N16" s="3">
        <f t="shared" ca="1" si="13"/>
        <v>285255.46152248164</v>
      </c>
      <c r="O16" s="3">
        <f t="shared" ca="1" si="14"/>
        <v>98036.04268964364</v>
      </c>
      <c r="P16" s="3">
        <f t="shared" ca="1" si="15"/>
        <v>78219.977092272864</v>
      </c>
      <c r="Q16" s="3">
        <f t="shared" ca="1" si="16"/>
        <v>378.18978082853363</v>
      </c>
      <c r="R16" s="3">
        <f t="shared" ca="1" si="17"/>
        <v>11582.395432893329</v>
      </c>
      <c r="S16" s="3">
        <f t="shared" ca="1" si="18"/>
        <v>553873.43812253699</v>
      </c>
      <c r="T16" s="3">
        <f t="shared" ca="1" si="19"/>
        <v>363853.62839558301</v>
      </c>
      <c r="U16" s="5">
        <f t="shared" ca="1" si="20"/>
        <v>190019.80972695397</v>
      </c>
      <c r="AE16">
        <v>10</v>
      </c>
      <c r="AF16" t="s">
        <v>28</v>
      </c>
    </row>
    <row r="17" spans="1:32" x14ac:dyDescent="0.35">
      <c r="A17">
        <f t="shared" ca="1" si="2"/>
        <v>2</v>
      </c>
      <c r="B17" s="4" t="str">
        <f t="shared" ca="1" si="0"/>
        <v>F</v>
      </c>
      <c r="C17" s="3">
        <f t="shared" ca="1" si="3"/>
        <v>6</v>
      </c>
      <c r="D17" s="3">
        <f t="shared" ca="1" si="1"/>
        <v>31</v>
      </c>
      <c r="E17" s="3" t="str">
        <f t="shared" ca="1" si="4"/>
        <v>Art</v>
      </c>
      <c r="F17" s="3">
        <f t="shared" ca="1" si="5"/>
        <v>6</v>
      </c>
      <c r="G17" s="3" t="str">
        <f t="shared" ca="1" si="6"/>
        <v>Doctorate</v>
      </c>
      <c r="H17" s="3">
        <f t="shared" ca="1" si="7"/>
        <v>3</v>
      </c>
      <c r="I17" s="3">
        <f t="shared" ca="1" si="8"/>
        <v>0</v>
      </c>
      <c r="J17" s="3">
        <f t="shared" ca="1" si="9"/>
        <v>6</v>
      </c>
      <c r="K17" s="3" t="str">
        <f t="shared" ca="1" si="10"/>
        <v>Arunachal Pradesh</v>
      </c>
      <c r="L17" s="3">
        <f t="shared" ca="1" si="11"/>
        <v>69520</v>
      </c>
      <c r="M17" s="3">
        <f t="shared" ca="1" si="12"/>
        <v>417120</v>
      </c>
      <c r="N17" s="3">
        <f t="shared" ca="1" si="13"/>
        <v>343405.28931878624</v>
      </c>
      <c r="O17" s="3">
        <f t="shared" ca="1" si="14"/>
        <v>0</v>
      </c>
      <c r="P17" s="3">
        <f t="shared" ca="1" si="15"/>
        <v>0</v>
      </c>
      <c r="Q17" s="3">
        <f t="shared" ca="1" si="16"/>
        <v>32864.521894933867</v>
      </c>
      <c r="R17" s="3">
        <f t="shared" ca="1" si="17"/>
        <v>42402.251886855804</v>
      </c>
      <c r="S17" s="3">
        <f t="shared" ca="1" si="18"/>
        <v>459522.25188685581</v>
      </c>
      <c r="T17" s="3">
        <f t="shared" ca="1" si="19"/>
        <v>376269.81121372012</v>
      </c>
      <c r="U17" s="5">
        <f t="shared" ca="1" si="20"/>
        <v>83252.440673135687</v>
      </c>
      <c r="AE17">
        <v>11</v>
      </c>
      <c r="AF17" t="s">
        <v>29</v>
      </c>
    </row>
    <row r="18" spans="1:32" x14ac:dyDescent="0.35">
      <c r="A18">
        <f t="shared" ca="1" si="2"/>
        <v>1</v>
      </c>
      <c r="B18" s="4" t="str">
        <f t="shared" ca="1" si="0"/>
        <v>M</v>
      </c>
      <c r="C18" s="3">
        <f t="shared" ca="1" si="3"/>
        <v>4</v>
      </c>
      <c r="D18" s="3">
        <f t="shared" ca="1" si="1"/>
        <v>22</v>
      </c>
      <c r="E18" s="3" t="str">
        <f t="shared" ca="1" si="4"/>
        <v>Accounting</v>
      </c>
      <c r="F18" s="3">
        <f t="shared" ca="1" si="5"/>
        <v>1</v>
      </c>
      <c r="G18" s="3" t="str">
        <f t="shared" ca="1" si="6"/>
        <v>Secondary</v>
      </c>
      <c r="H18" s="3">
        <f t="shared" ca="1" si="7"/>
        <v>0</v>
      </c>
      <c r="I18" s="3">
        <f t="shared" ca="1" si="8"/>
        <v>1</v>
      </c>
      <c r="J18" s="3">
        <f t="shared" ca="1" si="9"/>
        <v>26</v>
      </c>
      <c r="K18" s="3" t="str">
        <f t="shared" ca="1" si="10"/>
        <v>Tripura</v>
      </c>
      <c r="L18" s="3">
        <f t="shared" ca="1" si="11"/>
        <v>82010</v>
      </c>
      <c r="M18" s="3">
        <f t="shared" ca="1" si="12"/>
        <v>656080</v>
      </c>
      <c r="N18" s="3">
        <f t="shared" ca="1" si="13"/>
        <v>202168.23327612874</v>
      </c>
      <c r="O18" s="3">
        <f t="shared" ca="1" si="14"/>
        <v>70184.446220512138</v>
      </c>
      <c r="P18" s="3">
        <f t="shared" ca="1" si="15"/>
        <v>53447.1060397201</v>
      </c>
      <c r="Q18" s="3">
        <f t="shared" ca="1" si="16"/>
        <v>75877.26311612784</v>
      </c>
      <c r="R18" s="3">
        <f t="shared" ca="1" si="17"/>
        <v>72086.779918635657</v>
      </c>
      <c r="S18" s="3">
        <f t="shared" ca="1" si="18"/>
        <v>798351.22613914777</v>
      </c>
      <c r="T18" s="3">
        <f t="shared" ca="1" si="19"/>
        <v>331492.6024319767</v>
      </c>
      <c r="U18" s="5">
        <f t="shared" ca="1" si="20"/>
        <v>466858.62370717106</v>
      </c>
      <c r="AE18">
        <v>12</v>
      </c>
      <c r="AF18" t="s">
        <v>30</v>
      </c>
    </row>
    <row r="19" spans="1:32" x14ac:dyDescent="0.35">
      <c r="A19">
        <f t="shared" ca="1" si="2"/>
        <v>1</v>
      </c>
      <c r="B19" s="4" t="str">
        <f t="shared" ca="1" si="0"/>
        <v>M</v>
      </c>
      <c r="C19" s="3">
        <f t="shared" ca="1" si="3"/>
        <v>7</v>
      </c>
      <c r="D19" s="3">
        <f t="shared" ca="1" si="1"/>
        <v>44</v>
      </c>
      <c r="E19" s="3" t="str">
        <f t="shared" ca="1" si="4"/>
        <v>Other</v>
      </c>
      <c r="F19" s="3">
        <f t="shared" ca="1" si="5"/>
        <v>3</v>
      </c>
      <c r="G19" s="3" t="str">
        <f t="shared" ca="1" si="6"/>
        <v>UG</v>
      </c>
      <c r="H19" s="3">
        <f t="shared" ca="1" si="7"/>
        <v>4</v>
      </c>
      <c r="I19" s="3">
        <f t="shared" ca="1" si="8"/>
        <v>3</v>
      </c>
      <c r="J19" s="3">
        <f t="shared" ca="1" si="9"/>
        <v>4</v>
      </c>
      <c r="K19" s="3" t="str">
        <f t="shared" ca="1" si="10"/>
        <v>Maharashtra</v>
      </c>
      <c r="L19" s="3">
        <f t="shared" ca="1" si="11"/>
        <v>30256</v>
      </c>
      <c r="M19" s="3">
        <f t="shared" ca="1" si="12"/>
        <v>151280</v>
      </c>
      <c r="N19" s="3">
        <f t="shared" ca="1" si="13"/>
        <v>7281.9646883548303</v>
      </c>
      <c r="O19" s="3">
        <f t="shared" ca="1" si="14"/>
        <v>13813.027487631063</v>
      </c>
      <c r="P19" s="3">
        <f t="shared" ca="1" si="15"/>
        <v>9966.7686058520831</v>
      </c>
      <c r="Q19" s="3">
        <f t="shared" ca="1" si="16"/>
        <v>8363.1905666097518</v>
      </c>
      <c r="R19" s="3">
        <f t="shared" ca="1" si="17"/>
        <v>9071.8239620212844</v>
      </c>
      <c r="S19" s="3">
        <f t="shared" ca="1" si="18"/>
        <v>174164.85144965234</v>
      </c>
      <c r="T19" s="3">
        <f t="shared" ca="1" si="19"/>
        <v>25611.923860816663</v>
      </c>
      <c r="U19" s="5">
        <f t="shared" ca="1" si="20"/>
        <v>148552.92758883568</v>
      </c>
      <c r="AE19">
        <v>13</v>
      </c>
      <c r="AF19" t="s">
        <v>31</v>
      </c>
    </row>
    <row r="20" spans="1:32" x14ac:dyDescent="0.35">
      <c r="A20">
        <f t="shared" ca="1" si="2"/>
        <v>1</v>
      </c>
      <c r="B20" s="4" t="str">
        <f t="shared" ca="1" si="0"/>
        <v>M</v>
      </c>
      <c r="C20" s="3">
        <f t="shared" ca="1" si="3"/>
        <v>4</v>
      </c>
      <c r="D20" s="3">
        <f t="shared" ca="1" si="1"/>
        <v>40</v>
      </c>
      <c r="E20" s="3" t="str">
        <f t="shared" ca="1" si="4"/>
        <v>Accounting</v>
      </c>
      <c r="F20" s="3">
        <f t="shared" ca="1" si="5"/>
        <v>6</v>
      </c>
      <c r="G20" s="3" t="str">
        <f t="shared" ca="1" si="6"/>
        <v>Doctorate</v>
      </c>
      <c r="H20" s="3">
        <f t="shared" ca="1" si="7"/>
        <v>2</v>
      </c>
      <c r="I20" s="3">
        <f t="shared" ca="1" si="8"/>
        <v>2</v>
      </c>
      <c r="J20" s="3">
        <f t="shared" ca="1" si="9"/>
        <v>20</v>
      </c>
      <c r="K20" s="3" t="str">
        <f t="shared" ca="1" si="10"/>
        <v>Nagaland</v>
      </c>
      <c r="L20" s="3">
        <f t="shared" ca="1" si="11"/>
        <v>77033</v>
      </c>
      <c r="M20" s="3">
        <f t="shared" ca="1" si="12"/>
        <v>693297</v>
      </c>
      <c r="N20" s="3">
        <f t="shared" ca="1" si="13"/>
        <v>51354.066544545218</v>
      </c>
      <c r="O20" s="3">
        <f t="shared" ca="1" si="14"/>
        <v>26253.43867223596</v>
      </c>
      <c r="P20" s="3">
        <f t="shared" ca="1" si="15"/>
        <v>22284.473055863025</v>
      </c>
      <c r="Q20" s="3">
        <f t="shared" ca="1" si="16"/>
        <v>24100.768233468036</v>
      </c>
      <c r="R20" s="3">
        <f t="shared" ca="1" si="17"/>
        <v>16640.707639319357</v>
      </c>
      <c r="S20" s="3">
        <f t="shared" ca="1" si="18"/>
        <v>736191.14631155529</v>
      </c>
      <c r="T20" s="3">
        <f t="shared" ca="1" si="19"/>
        <v>97739.307833876286</v>
      </c>
      <c r="U20" s="5">
        <f t="shared" ca="1" si="20"/>
        <v>638451.83847767906</v>
      </c>
      <c r="AE20">
        <v>14</v>
      </c>
      <c r="AF20" t="s">
        <v>32</v>
      </c>
    </row>
    <row r="21" spans="1:32" x14ac:dyDescent="0.35">
      <c r="A21">
        <f t="shared" ca="1" si="2"/>
        <v>1</v>
      </c>
      <c r="B21" s="4" t="str">
        <f t="shared" ca="1" si="0"/>
        <v>M</v>
      </c>
      <c r="C21" s="3">
        <f t="shared" ca="1" si="3"/>
        <v>5</v>
      </c>
      <c r="D21" s="3">
        <f t="shared" ca="1" si="1"/>
        <v>32</v>
      </c>
      <c r="E21" s="3" t="str">
        <f t="shared" ca="1" si="4"/>
        <v>Research</v>
      </c>
      <c r="F21" s="3">
        <f t="shared" ca="1" si="5"/>
        <v>2</v>
      </c>
      <c r="G21" s="3" t="str">
        <f t="shared" ca="1" si="6"/>
        <v>Senior Secondary</v>
      </c>
      <c r="H21" s="3">
        <f t="shared" ca="1" si="7"/>
        <v>1</v>
      </c>
      <c r="I21" s="3">
        <f t="shared" ca="1" si="8"/>
        <v>3</v>
      </c>
      <c r="J21" s="3">
        <f t="shared" ca="1" si="9"/>
        <v>25</v>
      </c>
      <c r="K21" s="3" t="str">
        <f t="shared" ca="1" si="10"/>
        <v>Telangana</v>
      </c>
      <c r="L21" s="3">
        <f t="shared" ca="1" si="11"/>
        <v>84935</v>
      </c>
      <c r="M21" s="3">
        <f t="shared" ca="1" si="12"/>
        <v>594545</v>
      </c>
      <c r="N21" s="3">
        <f t="shared" ca="1" si="13"/>
        <v>464004.44496935932</v>
      </c>
      <c r="O21" s="3">
        <f t="shared" ca="1" si="14"/>
        <v>148200.33183805691</v>
      </c>
      <c r="P21" s="3">
        <f t="shared" ca="1" si="15"/>
        <v>30145.594048587449</v>
      </c>
      <c r="Q21" s="3">
        <f t="shared" ca="1" si="16"/>
        <v>16438.474165621799</v>
      </c>
      <c r="R21" s="3">
        <f t="shared" ca="1" si="17"/>
        <v>27307.534846669114</v>
      </c>
      <c r="S21" s="3">
        <f t="shared" ca="1" si="18"/>
        <v>770052.86668472597</v>
      </c>
      <c r="T21" s="3">
        <f t="shared" ca="1" si="19"/>
        <v>510588.51318356855</v>
      </c>
      <c r="U21" s="5">
        <f t="shared" ca="1" si="20"/>
        <v>259464.35350115743</v>
      </c>
      <c r="AE21">
        <v>15</v>
      </c>
      <c r="AF21" t="s">
        <v>33</v>
      </c>
    </row>
    <row r="22" spans="1:32" x14ac:dyDescent="0.35">
      <c r="A22">
        <f t="shared" ca="1" si="2"/>
        <v>2</v>
      </c>
      <c r="B22" s="4" t="str">
        <f t="shared" ca="1" si="0"/>
        <v>F</v>
      </c>
      <c r="C22" s="3">
        <f t="shared" ca="1" si="3"/>
        <v>1</v>
      </c>
      <c r="D22" s="3">
        <f t="shared" ca="1" si="1"/>
        <v>45</v>
      </c>
      <c r="E22" s="3" t="str">
        <f t="shared" ca="1" si="4"/>
        <v>Engineering</v>
      </c>
      <c r="F22" s="3">
        <f t="shared" ca="1" si="5"/>
        <v>6</v>
      </c>
      <c r="G22" s="3" t="str">
        <f t="shared" ca="1" si="6"/>
        <v>Doctorate</v>
      </c>
      <c r="H22" s="3">
        <f t="shared" ca="1" si="7"/>
        <v>4</v>
      </c>
      <c r="I22" s="3">
        <f t="shared" ca="1" si="8"/>
        <v>3</v>
      </c>
      <c r="J22" s="3">
        <f t="shared" ca="1" si="9"/>
        <v>27</v>
      </c>
      <c r="K22" s="3" t="str">
        <f t="shared" ca="1" si="10"/>
        <v>Uttrakhand</v>
      </c>
      <c r="L22" s="3">
        <f t="shared" ca="1" si="11"/>
        <v>37034</v>
      </c>
      <c r="M22" s="3">
        <f t="shared" ca="1" si="12"/>
        <v>222204</v>
      </c>
      <c r="N22" s="3">
        <f t="shared" ca="1" si="13"/>
        <v>71026.020601696131</v>
      </c>
      <c r="O22" s="3">
        <f t="shared" ca="1" si="14"/>
        <v>48648.223838229533</v>
      </c>
      <c r="P22" s="3">
        <f t="shared" ca="1" si="15"/>
        <v>1644.677432303384</v>
      </c>
      <c r="Q22" s="3">
        <f t="shared" ca="1" si="16"/>
        <v>28388.191569924216</v>
      </c>
      <c r="R22" s="3">
        <f t="shared" ca="1" si="17"/>
        <v>34142.527923634843</v>
      </c>
      <c r="S22" s="3">
        <f t="shared" ca="1" si="18"/>
        <v>304994.75176186441</v>
      </c>
      <c r="T22" s="3">
        <f t="shared" ca="1" si="19"/>
        <v>101058.88960392374</v>
      </c>
      <c r="U22" s="5">
        <f t="shared" ca="1" si="20"/>
        <v>203935.86215794066</v>
      </c>
      <c r="AE22">
        <v>16</v>
      </c>
      <c r="AF22" t="s">
        <v>34</v>
      </c>
    </row>
    <row r="23" spans="1:32" x14ac:dyDescent="0.35">
      <c r="A23">
        <f t="shared" ca="1" si="2"/>
        <v>1</v>
      </c>
      <c r="B23" s="4" t="str">
        <f t="shared" ca="1" si="0"/>
        <v>M</v>
      </c>
      <c r="C23" s="3">
        <f t="shared" ca="1" si="3"/>
        <v>6</v>
      </c>
      <c r="D23" s="3">
        <f t="shared" ca="1" si="1"/>
        <v>20</v>
      </c>
      <c r="E23" s="3" t="str">
        <f t="shared" ca="1" si="4"/>
        <v>Art</v>
      </c>
      <c r="F23" s="3">
        <f t="shared" ca="1" si="5"/>
        <v>1</v>
      </c>
      <c r="G23" s="3" t="str">
        <f t="shared" ca="1" si="6"/>
        <v>Secondary</v>
      </c>
      <c r="H23" s="3">
        <f t="shared" ca="1" si="7"/>
        <v>3</v>
      </c>
      <c r="I23" s="3">
        <f t="shared" ca="1" si="8"/>
        <v>3</v>
      </c>
      <c r="J23" s="3">
        <f t="shared" ca="1" si="9"/>
        <v>27</v>
      </c>
      <c r="K23" s="3" t="str">
        <f t="shared" ca="1" si="10"/>
        <v>Uttrakhand</v>
      </c>
      <c r="L23" s="3">
        <f t="shared" ca="1" si="11"/>
        <v>26604</v>
      </c>
      <c r="M23" s="3">
        <f t="shared" ca="1" si="12"/>
        <v>239436</v>
      </c>
      <c r="N23" s="3">
        <f t="shared" ca="1" si="13"/>
        <v>65117.052599298688</v>
      </c>
      <c r="O23" s="3">
        <f t="shared" ca="1" si="14"/>
        <v>42528.300646488598</v>
      </c>
      <c r="P23" s="3">
        <f t="shared" ca="1" si="15"/>
        <v>21624.405597850826</v>
      </c>
      <c r="Q23" s="3">
        <f t="shared" ca="1" si="16"/>
        <v>26566.271807269393</v>
      </c>
      <c r="R23" s="3">
        <f t="shared" ca="1" si="17"/>
        <v>20756.041913319557</v>
      </c>
      <c r="S23" s="3">
        <f t="shared" ca="1" si="18"/>
        <v>302720.34255980817</v>
      </c>
      <c r="T23" s="3">
        <f t="shared" ca="1" si="19"/>
        <v>113307.7300044189</v>
      </c>
      <c r="U23" s="5">
        <f t="shared" ca="1" si="20"/>
        <v>189412.61255538926</v>
      </c>
      <c r="AE23">
        <v>17</v>
      </c>
      <c r="AF23" t="s">
        <v>35</v>
      </c>
    </row>
    <row r="24" spans="1:32" x14ac:dyDescent="0.35">
      <c r="A24">
        <f t="shared" ca="1" si="2"/>
        <v>1</v>
      </c>
      <c r="B24" s="4" t="str">
        <f t="shared" ca="1" si="0"/>
        <v>M</v>
      </c>
      <c r="C24" s="3">
        <f t="shared" ca="1" si="3"/>
        <v>4</v>
      </c>
      <c r="D24" s="3">
        <f t="shared" ca="1" si="1"/>
        <v>44</v>
      </c>
      <c r="E24" s="3" t="str">
        <f t="shared" ca="1" si="4"/>
        <v>Accounting</v>
      </c>
      <c r="F24" s="3">
        <f t="shared" ca="1" si="5"/>
        <v>3</v>
      </c>
      <c r="G24" s="3" t="str">
        <f t="shared" ca="1" si="6"/>
        <v>UG</v>
      </c>
      <c r="H24" s="3">
        <f t="shared" ca="1" si="7"/>
        <v>3</v>
      </c>
      <c r="I24" s="3">
        <f t="shared" ca="1" si="8"/>
        <v>2</v>
      </c>
      <c r="J24" s="3">
        <f t="shared" ca="1" si="9"/>
        <v>20</v>
      </c>
      <c r="K24" s="3" t="str">
        <f t="shared" ca="1" si="10"/>
        <v>Nagaland</v>
      </c>
      <c r="L24" s="3">
        <f t="shared" ca="1" si="11"/>
        <v>48133</v>
      </c>
      <c r="M24" s="3">
        <f t="shared" ca="1" si="12"/>
        <v>433197</v>
      </c>
      <c r="N24" s="3">
        <f t="shared" ca="1" si="13"/>
        <v>258731.13474767172</v>
      </c>
      <c r="O24" s="3">
        <f t="shared" ca="1" si="14"/>
        <v>2242.2130497311382</v>
      </c>
      <c r="P24" s="3">
        <f t="shared" ca="1" si="15"/>
        <v>371.7090413498068</v>
      </c>
      <c r="Q24" s="3">
        <f t="shared" ca="1" si="16"/>
        <v>3160.9457261317743</v>
      </c>
      <c r="R24" s="3">
        <f t="shared" ca="1" si="17"/>
        <v>1667.2344375949235</v>
      </c>
      <c r="S24" s="3">
        <f t="shared" ca="1" si="18"/>
        <v>437106.44748732611</v>
      </c>
      <c r="T24" s="3">
        <f t="shared" ca="1" si="19"/>
        <v>262263.78951515327</v>
      </c>
      <c r="U24" s="5">
        <f t="shared" ca="1" si="20"/>
        <v>174842.65797217283</v>
      </c>
      <c r="AE24">
        <v>18</v>
      </c>
      <c r="AF24" t="s">
        <v>36</v>
      </c>
    </row>
    <row r="25" spans="1:32" x14ac:dyDescent="0.35">
      <c r="A25">
        <f t="shared" ca="1" si="2"/>
        <v>1</v>
      </c>
      <c r="B25" s="4" t="str">
        <f t="shared" ca="1" si="0"/>
        <v>M</v>
      </c>
      <c r="C25" s="3">
        <f t="shared" ca="1" si="3"/>
        <v>2</v>
      </c>
      <c r="D25" s="3">
        <f t="shared" ca="1" si="1"/>
        <v>21</v>
      </c>
      <c r="E25" s="3" t="str">
        <f t="shared" ca="1" si="4"/>
        <v>Healthcare</v>
      </c>
      <c r="F25" s="3">
        <f t="shared" ca="1" si="5"/>
        <v>3</v>
      </c>
      <c r="G25" s="3" t="str">
        <f t="shared" ca="1" si="6"/>
        <v>UG</v>
      </c>
      <c r="H25" s="3">
        <f t="shared" ca="1" si="7"/>
        <v>3</v>
      </c>
      <c r="I25" s="3">
        <f t="shared" ca="1" si="8"/>
        <v>2</v>
      </c>
      <c r="J25" s="3">
        <f t="shared" ca="1" si="9"/>
        <v>8</v>
      </c>
      <c r="K25" s="3" t="str">
        <f t="shared" ca="1" si="10"/>
        <v>Bihar</v>
      </c>
      <c r="L25" s="3">
        <f t="shared" ca="1" si="11"/>
        <v>35940</v>
      </c>
      <c r="M25" s="3">
        <f t="shared" ca="1" si="12"/>
        <v>215640</v>
      </c>
      <c r="N25" s="3">
        <f t="shared" ca="1" si="13"/>
        <v>178810.99712428983</v>
      </c>
      <c r="O25" s="3">
        <f t="shared" ca="1" si="14"/>
        <v>32669.837059997353</v>
      </c>
      <c r="P25" s="3">
        <f t="shared" ca="1" si="15"/>
        <v>22117.219673897904</v>
      </c>
      <c r="Q25" s="3">
        <f t="shared" ca="1" si="16"/>
        <v>25917.323660173421</v>
      </c>
      <c r="R25" s="3">
        <f t="shared" ca="1" si="17"/>
        <v>2015.0004194517703</v>
      </c>
      <c r="S25" s="3">
        <f t="shared" ca="1" si="18"/>
        <v>250324.83747944911</v>
      </c>
      <c r="T25" s="3">
        <f t="shared" ca="1" si="19"/>
        <v>226845.54045836115</v>
      </c>
      <c r="U25" s="5">
        <f t="shared" ca="1" si="20"/>
        <v>23479.297021087958</v>
      </c>
      <c r="AE25">
        <v>19</v>
      </c>
      <c r="AF25" t="s">
        <v>37</v>
      </c>
    </row>
    <row r="26" spans="1:32" x14ac:dyDescent="0.35">
      <c r="A26">
        <f t="shared" ca="1" si="2"/>
        <v>1</v>
      </c>
      <c r="B26" s="4" t="str">
        <f t="shared" ca="1" si="0"/>
        <v>M</v>
      </c>
      <c r="C26" s="3">
        <f t="shared" ca="1" si="3"/>
        <v>5</v>
      </c>
      <c r="D26" s="3">
        <f t="shared" ca="1" si="1"/>
        <v>39</v>
      </c>
      <c r="E26" s="3" t="str">
        <f t="shared" ca="1" si="4"/>
        <v>Research</v>
      </c>
      <c r="F26" s="3">
        <f t="shared" ca="1" si="5"/>
        <v>7</v>
      </c>
      <c r="G26" s="3" t="str">
        <f t="shared" ca="1" si="6"/>
        <v>Other</v>
      </c>
      <c r="H26" s="3">
        <f t="shared" ca="1" si="7"/>
        <v>1</v>
      </c>
      <c r="I26" s="3">
        <f t="shared" ca="1" si="8"/>
        <v>0</v>
      </c>
      <c r="J26" s="3">
        <f t="shared" ca="1" si="9"/>
        <v>9</v>
      </c>
      <c r="K26" s="3" t="str">
        <f t="shared" ca="1" si="10"/>
        <v>Chhattisgarh</v>
      </c>
      <c r="L26" s="3">
        <f t="shared" ca="1" si="11"/>
        <v>85987</v>
      </c>
      <c r="M26" s="3">
        <f t="shared" ca="1" si="12"/>
        <v>773883</v>
      </c>
      <c r="N26" s="3">
        <f t="shared" ca="1" si="13"/>
        <v>292371.19347212795</v>
      </c>
      <c r="O26" s="3">
        <f t="shared" ca="1" si="14"/>
        <v>0</v>
      </c>
      <c r="P26" s="3">
        <f t="shared" ca="1" si="15"/>
        <v>0</v>
      </c>
      <c r="Q26" s="3">
        <f t="shared" ca="1" si="16"/>
        <v>74726.846314841096</v>
      </c>
      <c r="R26" s="3">
        <f t="shared" ca="1" si="17"/>
        <v>77806.426187050107</v>
      </c>
      <c r="S26" s="3">
        <f t="shared" ca="1" si="18"/>
        <v>851689.42618705006</v>
      </c>
      <c r="T26" s="3">
        <f t="shared" ca="1" si="19"/>
        <v>367098.03978696908</v>
      </c>
      <c r="U26" s="5">
        <f t="shared" ca="1" si="20"/>
        <v>484591.38640008098</v>
      </c>
      <c r="AE26">
        <v>20</v>
      </c>
      <c r="AF26" t="s">
        <v>38</v>
      </c>
    </row>
    <row r="27" spans="1:32" x14ac:dyDescent="0.35">
      <c r="A27">
        <f t="shared" ca="1" si="2"/>
        <v>1</v>
      </c>
      <c r="B27" s="4" t="str">
        <f t="shared" ca="1" si="0"/>
        <v>M</v>
      </c>
      <c r="C27" s="3">
        <f t="shared" ca="1" si="3"/>
        <v>4</v>
      </c>
      <c r="D27" s="3">
        <f t="shared" ca="1" si="1"/>
        <v>27</v>
      </c>
      <c r="E27" s="3" t="str">
        <f t="shared" ca="1" si="4"/>
        <v>Accounting</v>
      </c>
      <c r="F27" s="3">
        <f t="shared" ca="1" si="5"/>
        <v>3</v>
      </c>
      <c r="G27" s="3" t="str">
        <f t="shared" ca="1" si="6"/>
        <v>UG</v>
      </c>
      <c r="H27" s="3">
        <f t="shared" ca="1" si="7"/>
        <v>2</v>
      </c>
      <c r="I27" s="3">
        <f t="shared" ca="1" si="8"/>
        <v>3</v>
      </c>
      <c r="J27" s="3">
        <f t="shared" ca="1" si="9"/>
        <v>18</v>
      </c>
      <c r="K27" s="3" t="str">
        <f t="shared" ca="1" si="10"/>
        <v>Meghalya</v>
      </c>
      <c r="L27" s="3">
        <f t="shared" ca="1" si="11"/>
        <v>84798</v>
      </c>
      <c r="M27" s="3">
        <f t="shared" ca="1" si="12"/>
        <v>423990</v>
      </c>
      <c r="N27" s="3">
        <f t="shared" ca="1" si="13"/>
        <v>117259.8783907874</v>
      </c>
      <c r="O27" s="3">
        <f t="shared" ca="1" si="14"/>
        <v>107868.72356472061</v>
      </c>
      <c r="P27" s="3">
        <f t="shared" ca="1" si="15"/>
        <v>102673.9490350377</v>
      </c>
      <c r="Q27" s="3">
        <f t="shared" ca="1" si="16"/>
        <v>24244.007092294956</v>
      </c>
      <c r="R27" s="3">
        <f t="shared" ca="1" si="17"/>
        <v>75473.843254395149</v>
      </c>
      <c r="S27" s="3">
        <f t="shared" ca="1" si="18"/>
        <v>607332.56681911577</v>
      </c>
      <c r="T27" s="3">
        <f t="shared" ca="1" si="19"/>
        <v>244177.83451812007</v>
      </c>
      <c r="U27" s="5">
        <f t="shared" ca="1" si="20"/>
        <v>363154.73230099573</v>
      </c>
      <c r="AE27">
        <v>21</v>
      </c>
      <c r="AF27" t="s">
        <v>39</v>
      </c>
    </row>
    <row r="28" spans="1:32" x14ac:dyDescent="0.35">
      <c r="A28">
        <f t="shared" ca="1" si="2"/>
        <v>2</v>
      </c>
      <c r="B28" s="4" t="str">
        <f t="shared" ca="1" si="0"/>
        <v>F</v>
      </c>
      <c r="C28" s="3">
        <f t="shared" ca="1" si="3"/>
        <v>3</v>
      </c>
      <c r="D28" s="3">
        <f t="shared" ca="1" si="1"/>
        <v>34</v>
      </c>
      <c r="E28" s="3" t="str">
        <f t="shared" ca="1" si="4"/>
        <v>IT</v>
      </c>
      <c r="F28" s="3">
        <f t="shared" ca="1" si="5"/>
        <v>1</v>
      </c>
      <c r="G28" s="3" t="str">
        <f t="shared" ca="1" si="6"/>
        <v>Secondary</v>
      </c>
      <c r="H28" s="3">
        <f t="shared" ca="1" si="7"/>
        <v>2</v>
      </c>
      <c r="I28" s="3">
        <f t="shared" ca="1" si="8"/>
        <v>1</v>
      </c>
      <c r="J28" s="3">
        <f t="shared" ca="1" si="9"/>
        <v>2</v>
      </c>
      <c r="K28" s="3" t="str">
        <f t="shared" ca="1" si="10"/>
        <v>Uttar Pradesh</v>
      </c>
      <c r="L28" s="3">
        <f t="shared" ca="1" si="11"/>
        <v>39547</v>
      </c>
      <c r="M28" s="3">
        <f t="shared" ca="1" si="12"/>
        <v>316376</v>
      </c>
      <c r="N28" s="3">
        <f t="shared" ca="1" si="13"/>
        <v>106302.78588472326</v>
      </c>
      <c r="O28" s="3">
        <f t="shared" ca="1" si="14"/>
        <v>21926.041229391631</v>
      </c>
      <c r="P28" s="3">
        <f t="shared" ca="1" si="15"/>
        <v>2165.8929624564121</v>
      </c>
      <c r="Q28" s="3">
        <f t="shared" ca="1" si="16"/>
        <v>13896.390130374524</v>
      </c>
      <c r="R28" s="3">
        <f t="shared" ca="1" si="17"/>
        <v>7400.9110801673132</v>
      </c>
      <c r="S28" s="3">
        <f t="shared" ca="1" si="18"/>
        <v>345702.95230955898</v>
      </c>
      <c r="T28" s="3">
        <f t="shared" ca="1" si="19"/>
        <v>122365.0689775542</v>
      </c>
      <c r="U28" s="5">
        <f t="shared" ca="1" si="20"/>
        <v>223337.88333200477</v>
      </c>
      <c r="AE28">
        <v>22</v>
      </c>
      <c r="AF28" t="s">
        <v>40</v>
      </c>
    </row>
    <row r="29" spans="1:32" x14ac:dyDescent="0.35">
      <c r="A29">
        <f t="shared" ca="1" si="2"/>
        <v>1</v>
      </c>
      <c r="B29" s="4" t="str">
        <f t="shared" ca="1" si="0"/>
        <v>M</v>
      </c>
      <c r="C29" s="3">
        <f t="shared" ca="1" si="3"/>
        <v>1</v>
      </c>
      <c r="D29" s="3">
        <f t="shared" ca="1" si="1"/>
        <v>20</v>
      </c>
      <c r="E29" s="3" t="str">
        <f t="shared" ca="1" si="4"/>
        <v>Engineering</v>
      </c>
      <c r="F29" s="3">
        <f t="shared" ca="1" si="5"/>
        <v>2</v>
      </c>
      <c r="G29" s="3" t="str">
        <f t="shared" ca="1" si="6"/>
        <v>Senior Secondary</v>
      </c>
      <c r="H29" s="3">
        <f t="shared" ca="1" si="7"/>
        <v>4</v>
      </c>
      <c r="I29" s="3">
        <f t="shared" ca="1" si="8"/>
        <v>1</v>
      </c>
      <c r="J29" s="3">
        <f t="shared" ca="1" si="9"/>
        <v>7</v>
      </c>
      <c r="K29" s="3" t="str">
        <f t="shared" ca="1" si="10"/>
        <v>Assam</v>
      </c>
      <c r="L29" s="3">
        <f t="shared" ca="1" si="11"/>
        <v>52530</v>
      </c>
      <c r="M29" s="3">
        <f t="shared" ca="1" si="12"/>
        <v>367710</v>
      </c>
      <c r="N29" s="3">
        <f t="shared" ca="1" si="13"/>
        <v>184187.46715831725</v>
      </c>
      <c r="O29" s="3">
        <f t="shared" ca="1" si="14"/>
        <v>39256.950014441391</v>
      </c>
      <c r="P29" s="3">
        <f t="shared" ca="1" si="15"/>
        <v>9714.1263498385852</v>
      </c>
      <c r="Q29" s="3">
        <f t="shared" ca="1" si="16"/>
        <v>6549.1425504166227</v>
      </c>
      <c r="R29" s="3">
        <f t="shared" ca="1" si="17"/>
        <v>46937.630356760797</v>
      </c>
      <c r="S29" s="3">
        <f t="shared" ca="1" si="18"/>
        <v>453904.5803712022</v>
      </c>
      <c r="T29" s="3">
        <f t="shared" ca="1" si="19"/>
        <v>200450.73605857245</v>
      </c>
      <c r="U29" s="5">
        <f t="shared" ca="1" si="20"/>
        <v>253453.84431262975</v>
      </c>
      <c r="AE29">
        <v>23</v>
      </c>
      <c r="AF29" t="s">
        <v>41</v>
      </c>
    </row>
    <row r="30" spans="1:32" x14ac:dyDescent="0.35">
      <c r="A30">
        <f t="shared" ca="1" si="2"/>
        <v>2</v>
      </c>
      <c r="B30" s="4" t="str">
        <f t="shared" ca="1" si="0"/>
        <v>F</v>
      </c>
      <c r="C30" s="3">
        <f t="shared" ca="1" si="3"/>
        <v>1</v>
      </c>
      <c r="D30" s="3">
        <f t="shared" ca="1" si="1"/>
        <v>42</v>
      </c>
      <c r="E30" s="3" t="str">
        <f t="shared" ca="1" si="4"/>
        <v>Engineering</v>
      </c>
      <c r="F30" s="3">
        <f t="shared" ca="1" si="5"/>
        <v>7</v>
      </c>
      <c r="G30" s="3" t="str">
        <f t="shared" ca="1" si="6"/>
        <v>Other</v>
      </c>
      <c r="H30" s="3">
        <f t="shared" ca="1" si="7"/>
        <v>3</v>
      </c>
      <c r="I30" s="3">
        <f t="shared" ca="1" si="8"/>
        <v>3</v>
      </c>
      <c r="J30" s="3">
        <f t="shared" ca="1" si="9"/>
        <v>19</v>
      </c>
      <c r="K30" s="3" t="str">
        <f t="shared" ca="1" si="10"/>
        <v>Mizoram</v>
      </c>
      <c r="L30" s="3">
        <f t="shared" ca="1" si="11"/>
        <v>72665</v>
      </c>
      <c r="M30" s="3">
        <f t="shared" ca="1" si="12"/>
        <v>435990</v>
      </c>
      <c r="N30" s="3">
        <f t="shared" ca="1" si="13"/>
        <v>143990.03397678025</v>
      </c>
      <c r="O30" s="3">
        <f t="shared" ca="1" si="14"/>
        <v>93216.341400127698</v>
      </c>
      <c r="P30" s="3">
        <f t="shared" ca="1" si="15"/>
        <v>50399.515593926488</v>
      </c>
      <c r="Q30" s="3">
        <f t="shared" ca="1" si="16"/>
        <v>19362.86192285299</v>
      </c>
      <c r="R30" s="3">
        <f t="shared" ca="1" si="17"/>
        <v>43441.838445968555</v>
      </c>
      <c r="S30" s="3">
        <f t="shared" ca="1" si="18"/>
        <v>572648.17984609632</v>
      </c>
      <c r="T30" s="3">
        <f t="shared" ca="1" si="19"/>
        <v>213752.41149355972</v>
      </c>
      <c r="U30" s="5">
        <f t="shared" ca="1" si="20"/>
        <v>358895.7683525366</v>
      </c>
      <c r="AE30">
        <v>24</v>
      </c>
      <c r="AF30" t="s">
        <v>42</v>
      </c>
    </row>
    <row r="31" spans="1:32" x14ac:dyDescent="0.35">
      <c r="A31">
        <f t="shared" ca="1" si="2"/>
        <v>1</v>
      </c>
      <c r="B31" s="4" t="str">
        <f t="shared" ca="1" si="0"/>
        <v>M</v>
      </c>
      <c r="C31" s="3">
        <f t="shared" ca="1" si="3"/>
        <v>5</v>
      </c>
      <c r="D31" s="3">
        <f t="shared" ca="1" si="1"/>
        <v>20</v>
      </c>
      <c r="E31" s="3" t="str">
        <f t="shared" ca="1" si="4"/>
        <v>Research</v>
      </c>
      <c r="F31" s="3">
        <f t="shared" ca="1" si="5"/>
        <v>1</v>
      </c>
      <c r="G31" s="3" t="str">
        <f t="shared" ca="1" si="6"/>
        <v>Secondary</v>
      </c>
      <c r="H31" s="3">
        <f t="shared" ca="1" si="7"/>
        <v>3</v>
      </c>
      <c r="I31" s="3">
        <f t="shared" ca="1" si="8"/>
        <v>2</v>
      </c>
      <c r="J31" s="3">
        <f t="shared" ca="1" si="9"/>
        <v>1</v>
      </c>
      <c r="K31" s="3" t="str">
        <f t="shared" ca="1" si="10"/>
        <v>Haryana</v>
      </c>
      <c r="L31" s="3">
        <f t="shared" ca="1" si="11"/>
        <v>25333</v>
      </c>
      <c r="M31" s="3">
        <f t="shared" ca="1" si="12"/>
        <v>227997</v>
      </c>
      <c r="N31" s="3">
        <f t="shared" ca="1" si="13"/>
        <v>82758.156885696386</v>
      </c>
      <c r="O31" s="3">
        <f t="shared" ca="1" si="14"/>
        <v>13808.073489144503</v>
      </c>
      <c r="P31" s="3">
        <f t="shared" ca="1" si="15"/>
        <v>12380.964949428455</v>
      </c>
      <c r="Q31" s="3">
        <f t="shared" ca="1" si="16"/>
        <v>18047.011536545509</v>
      </c>
      <c r="R31" s="3">
        <f t="shared" ca="1" si="17"/>
        <v>23502.564183497489</v>
      </c>
      <c r="S31" s="3">
        <f t="shared" ca="1" si="18"/>
        <v>265307.63767264201</v>
      </c>
      <c r="T31" s="3">
        <f t="shared" ca="1" si="19"/>
        <v>113186.13337167035</v>
      </c>
      <c r="U31" s="5">
        <f t="shared" ca="1" si="20"/>
        <v>152121.50430097166</v>
      </c>
      <c r="AE31">
        <v>25</v>
      </c>
      <c r="AF31" t="s">
        <v>43</v>
      </c>
    </row>
    <row r="32" spans="1:32" x14ac:dyDescent="0.35">
      <c r="A32">
        <f t="shared" ca="1" si="2"/>
        <v>2</v>
      </c>
      <c r="B32" s="4" t="str">
        <f t="shared" ca="1" si="0"/>
        <v>F</v>
      </c>
      <c r="C32" s="3">
        <f t="shared" ca="1" si="3"/>
        <v>3</v>
      </c>
      <c r="D32" s="3">
        <f t="shared" ca="1" si="1"/>
        <v>34</v>
      </c>
      <c r="E32" s="3" t="str">
        <f t="shared" ca="1" si="4"/>
        <v>IT</v>
      </c>
      <c r="F32" s="3">
        <f t="shared" ca="1" si="5"/>
        <v>4</v>
      </c>
      <c r="G32" s="3" t="str">
        <f t="shared" ca="1" si="6"/>
        <v>PG</v>
      </c>
      <c r="H32" s="3">
        <f t="shared" ca="1" si="7"/>
        <v>1</v>
      </c>
      <c r="I32" s="3">
        <f t="shared" ca="1" si="8"/>
        <v>1</v>
      </c>
      <c r="J32" s="3">
        <f t="shared" ca="1" si="9"/>
        <v>26</v>
      </c>
      <c r="K32" s="3" t="str">
        <f t="shared" ca="1" si="10"/>
        <v>Tripura</v>
      </c>
      <c r="L32" s="3">
        <f t="shared" ca="1" si="11"/>
        <v>86857</v>
      </c>
      <c r="M32" s="3">
        <f t="shared" ca="1" si="12"/>
        <v>781713</v>
      </c>
      <c r="N32" s="3">
        <f t="shared" ca="1" si="13"/>
        <v>103271.61342637925</v>
      </c>
      <c r="O32" s="3">
        <f t="shared" ca="1" si="14"/>
        <v>44845.619873570664</v>
      </c>
      <c r="P32" s="3">
        <f t="shared" ca="1" si="15"/>
        <v>237.02709547938935</v>
      </c>
      <c r="Q32" s="3">
        <f t="shared" ca="1" si="16"/>
        <v>65253.965370713406</v>
      </c>
      <c r="R32" s="3">
        <f t="shared" ca="1" si="17"/>
        <v>84941.865694899621</v>
      </c>
      <c r="S32" s="3">
        <f t="shared" ca="1" si="18"/>
        <v>911500.48556847021</v>
      </c>
      <c r="T32" s="3">
        <f t="shared" ca="1" si="19"/>
        <v>168762.60589257206</v>
      </c>
      <c r="U32" s="5">
        <f t="shared" ca="1" si="20"/>
        <v>742737.87967589812</v>
      </c>
      <c r="AE32">
        <v>26</v>
      </c>
      <c r="AF32" t="s">
        <v>44</v>
      </c>
    </row>
    <row r="33" spans="1:32" x14ac:dyDescent="0.35">
      <c r="A33">
        <f t="shared" ca="1" si="2"/>
        <v>2</v>
      </c>
      <c r="B33" s="4" t="str">
        <f t="shared" ca="1" si="0"/>
        <v>F</v>
      </c>
      <c r="C33" s="3">
        <f t="shared" ca="1" si="3"/>
        <v>7</v>
      </c>
      <c r="D33" s="3">
        <f t="shared" ca="1" si="1"/>
        <v>22</v>
      </c>
      <c r="E33" s="3" t="str">
        <f t="shared" ca="1" si="4"/>
        <v>Other</v>
      </c>
      <c r="F33" s="3">
        <f t="shared" ca="1" si="5"/>
        <v>1</v>
      </c>
      <c r="G33" s="3" t="str">
        <f t="shared" ca="1" si="6"/>
        <v>Secondary</v>
      </c>
      <c r="H33" s="3">
        <f t="shared" ca="1" si="7"/>
        <v>4</v>
      </c>
      <c r="I33" s="3">
        <f t="shared" ca="1" si="8"/>
        <v>0</v>
      </c>
      <c r="J33" s="3">
        <f t="shared" ca="1" si="9"/>
        <v>2</v>
      </c>
      <c r="K33" s="3" t="str">
        <f t="shared" ca="1" si="10"/>
        <v>Uttar Pradesh</v>
      </c>
      <c r="L33" s="3">
        <f t="shared" ca="1" si="11"/>
        <v>76064</v>
      </c>
      <c r="M33" s="3">
        <f t="shared" ca="1" si="12"/>
        <v>380320</v>
      </c>
      <c r="N33" s="3">
        <f t="shared" ca="1" si="13"/>
        <v>371717.32272044598</v>
      </c>
      <c r="O33" s="3">
        <f t="shared" ca="1" si="14"/>
        <v>0</v>
      </c>
      <c r="P33" s="3">
        <f t="shared" ca="1" si="15"/>
        <v>0</v>
      </c>
      <c r="Q33" s="3">
        <f t="shared" ca="1" si="16"/>
        <v>7064.4493372806919</v>
      </c>
      <c r="R33" s="3">
        <f t="shared" ca="1" si="17"/>
        <v>59896.330668043942</v>
      </c>
      <c r="S33" s="3">
        <f t="shared" ca="1" si="18"/>
        <v>440216.33066804393</v>
      </c>
      <c r="T33" s="3">
        <f t="shared" ca="1" si="19"/>
        <v>378781.77205772669</v>
      </c>
      <c r="U33" s="5">
        <f t="shared" ca="1" si="20"/>
        <v>61434.558610317239</v>
      </c>
      <c r="AE33">
        <v>27</v>
      </c>
      <c r="AF33" t="s">
        <v>45</v>
      </c>
    </row>
    <row r="34" spans="1:32" x14ac:dyDescent="0.35">
      <c r="A34">
        <f t="shared" ca="1" si="2"/>
        <v>1</v>
      </c>
      <c r="B34" s="4" t="str">
        <f t="shared" ca="1" si="0"/>
        <v>M</v>
      </c>
      <c r="C34" s="3">
        <f t="shared" ca="1" si="3"/>
        <v>3</v>
      </c>
      <c r="D34" s="3">
        <f t="shared" ca="1" si="1"/>
        <v>45</v>
      </c>
      <c r="E34" s="3" t="str">
        <f t="shared" ca="1" si="4"/>
        <v>IT</v>
      </c>
      <c r="F34" s="3">
        <f t="shared" ca="1" si="5"/>
        <v>1</v>
      </c>
      <c r="G34" s="3" t="str">
        <f t="shared" ca="1" si="6"/>
        <v>Secondary</v>
      </c>
      <c r="H34" s="3">
        <f t="shared" ca="1" si="7"/>
        <v>3</v>
      </c>
      <c r="I34" s="3">
        <f t="shared" ca="1" si="8"/>
        <v>3</v>
      </c>
      <c r="J34" s="3">
        <f t="shared" ca="1" si="9"/>
        <v>18</v>
      </c>
      <c r="K34" s="3" t="str">
        <f t="shared" ca="1" si="10"/>
        <v>Meghalya</v>
      </c>
      <c r="L34" s="3">
        <f t="shared" ca="1" si="11"/>
        <v>74385</v>
      </c>
      <c r="M34" s="3">
        <f t="shared" ca="1" si="12"/>
        <v>595080</v>
      </c>
      <c r="N34" s="3">
        <f t="shared" ca="1" si="13"/>
        <v>246677.82767295651</v>
      </c>
      <c r="O34" s="3">
        <f t="shared" ca="1" si="14"/>
        <v>127461.86132548186</v>
      </c>
      <c r="P34" s="3">
        <f t="shared" ca="1" si="15"/>
        <v>46558.899164557959</v>
      </c>
      <c r="Q34" s="3">
        <f t="shared" ca="1" si="16"/>
        <v>8507.2428629175829</v>
      </c>
      <c r="R34" s="3">
        <f t="shared" ca="1" si="17"/>
        <v>18321.881172370442</v>
      </c>
      <c r="S34" s="3">
        <f t="shared" ca="1" si="18"/>
        <v>740863.7424978523</v>
      </c>
      <c r="T34" s="3">
        <f t="shared" ca="1" si="19"/>
        <v>301743.96970043209</v>
      </c>
      <c r="U34" s="5">
        <f t="shared" ca="1" si="20"/>
        <v>439119.77279742021</v>
      </c>
      <c r="AE34">
        <v>28</v>
      </c>
      <c r="AF34" t="s">
        <v>46</v>
      </c>
    </row>
    <row r="35" spans="1:32" x14ac:dyDescent="0.35">
      <c r="A35">
        <f t="shared" ca="1" si="2"/>
        <v>2</v>
      </c>
      <c r="B35" s="4" t="str">
        <f t="shared" ca="1" si="0"/>
        <v>F</v>
      </c>
      <c r="C35" s="3">
        <f t="shared" ca="1" si="3"/>
        <v>6</v>
      </c>
      <c r="D35" s="3">
        <f t="shared" ca="1" si="1"/>
        <v>19</v>
      </c>
      <c r="E35" s="3" t="str">
        <f t="shared" ca="1" si="4"/>
        <v>Art</v>
      </c>
      <c r="F35" s="3">
        <f t="shared" ca="1" si="5"/>
        <v>4</v>
      </c>
      <c r="G35" s="3" t="str">
        <f t="shared" ca="1" si="6"/>
        <v>PG</v>
      </c>
      <c r="H35" s="3">
        <f t="shared" ca="1" si="7"/>
        <v>3</v>
      </c>
      <c r="I35" s="3">
        <f t="shared" ca="1" si="8"/>
        <v>3</v>
      </c>
      <c r="J35" s="3">
        <f t="shared" ca="1" si="9"/>
        <v>16</v>
      </c>
      <c r="K35" s="3" t="str">
        <f t="shared" ca="1" si="10"/>
        <v>Madhya Pradesh</v>
      </c>
      <c r="L35" s="3">
        <f t="shared" ca="1" si="11"/>
        <v>70958</v>
      </c>
      <c r="M35" s="3">
        <f t="shared" ca="1" si="12"/>
        <v>354790</v>
      </c>
      <c r="N35" s="3">
        <f t="shared" ca="1" si="13"/>
        <v>217047.88613262356</v>
      </c>
      <c r="O35" s="3">
        <f t="shared" ca="1" si="14"/>
        <v>164910.47321556503</v>
      </c>
      <c r="P35" s="3">
        <f t="shared" ca="1" si="15"/>
        <v>111034.35793378952</v>
      </c>
      <c r="Q35" s="3">
        <f t="shared" ca="1" si="16"/>
        <v>70462.361629055333</v>
      </c>
      <c r="R35" s="3">
        <f t="shared" ca="1" si="17"/>
        <v>43641.557707580556</v>
      </c>
      <c r="S35" s="3">
        <f t="shared" ca="1" si="18"/>
        <v>563342.03092314559</v>
      </c>
      <c r="T35" s="3">
        <f t="shared" ca="1" si="19"/>
        <v>398544.60569546843</v>
      </c>
      <c r="U35" s="5">
        <f t="shared" ca="1" si="20"/>
        <v>164797.42522767716</v>
      </c>
    </row>
    <row r="36" spans="1:32" x14ac:dyDescent="0.35">
      <c r="A36">
        <f t="shared" ca="1" si="2"/>
        <v>2</v>
      </c>
      <c r="B36" s="4" t="str">
        <f t="shared" ca="1" si="0"/>
        <v>F</v>
      </c>
      <c r="C36" s="3">
        <f t="shared" ca="1" si="3"/>
        <v>1</v>
      </c>
      <c r="D36" s="3">
        <f t="shared" ca="1" si="1"/>
        <v>19</v>
      </c>
      <c r="E36" s="3" t="str">
        <f t="shared" ca="1" si="4"/>
        <v>Engineering</v>
      </c>
      <c r="F36" s="3">
        <f t="shared" ca="1" si="5"/>
        <v>6</v>
      </c>
      <c r="G36" s="3" t="str">
        <f t="shared" ca="1" si="6"/>
        <v>Doctorate</v>
      </c>
      <c r="H36" s="3">
        <f t="shared" ca="1" si="7"/>
        <v>4</v>
      </c>
      <c r="I36" s="3">
        <f t="shared" ca="1" si="8"/>
        <v>1</v>
      </c>
      <c r="J36" s="3">
        <f t="shared" ca="1" si="9"/>
        <v>21</v>
      </c>
      <c r="K36" s="3" t="str">
        <f t="shared" ca="1" si="10"/>
        <v>Odisha</v>
      </c>
      <c r="L36" s="3">
        <f t="shared" ca="1" si="11"/>
        <v>78407</v>
      </c>
      <c r="M36" s="3">
        <f t="shared" ca="1" si="12"/>
        <v>392035</v>
      </c>
      <c r="N36" s="3">
        <f t="shared" ca="1" si="13"/>
        <v>134720.26137131677</v>
      </c>
      <c r="O36" s="3">
        <f t="shared" ca="1" si="14"/>
        <v>75718.03532824076</v>
      </c>
      <c r="P36" s="3">
        <f t="shared" ca="1" si="15"/>
        <v>64618.799917453864</v>
      </c>
      <c r="Q36" s="3">
        <f t="shared" ca="1" si="16"/>
        <v>5408.6842726077039</v>
      </c>
      <c r="R36" s="3">
        <f t="shared" ca="1" si="17"/>
        <v>37297.165821447023</v>
      </c>
      <c r="S36" s="3">
        <f t="shared" ca="1" si="18"/>
        <v>505050.20114968781</v>
      </c>
      <c r="T36" s="3">
        <f t="shared" ca="1" si="19"/>
        <v>204747.74556137834</v>
      </c>
      <c r="U36" s="5">
        <f t="shared" ca="1" si="20"/>
        <v>300302.45558830944</v>
      </c>
    </row>
    <row r="37" spans="1:32" x14ac:dyDescent="0.35">
      <c r="A37">
        <f t="shared" ca="1" si="2"/>
        <v>1</v>
      </c>
      <c r="B37" s="4" t="str">
        <f t="shared" ca="1" si="0"/>
        <v>M</v>
      </c>
      <c r="C37" s="3">
        <f t="shared" ca="1" si="3"/>
        <v>3</v>
      </c>
      <c r="D37" s="3">
        <f t="shared" ca="1" si="1"/>
        <v>32</v>
      </c>
      <c r="E37" s="3" t="str">
        <f t="shared" ca="1" si="4"/>
        <v>IT</v>
      </c>
      <c r="F37" s="3">
        <f t="shared" ca="1" si="5"/>
        <v>2</v>
      </c>
      <c r="G37" s="3" t="str">
        <f t="shared" ca="1" si="6"/>
        <v>Senior Secondary</v>
      </c>
      <c r="H37" s="3">
        <f t="shared" ca="1" si="7"/>
        <v>2</v>
      </c>
      <c r="I37" s="3">
        <f t="shared" ca="1" si="8"/>
        <v>0</v>
      </c>
      <c r="J37" s="3">
        <f t="shared" ca="1" si="9"/>
        <v>1</v>
      </c>
      <c r="K37" s="3" t="str">
        <f t="shared" ca="1" si="10"/>
        <v>Haryana</v>
      </c>
      <c r="L37" s="3">
        <f t="shared" ca="1" si="11"/>
        <v>38110</v>
      </c>
      <c r="M37" s="3">
        <f t="shared" ca="1" si="12"/>
        <v>304880</v>
      </c>
      <c r="N37" s="3">
        <f t="shared" ca="1" si="13"/>
        <v>217782.7206903529</v>
      </c>
      <c r="O37" s="3">
        <f t="shared" ca="1" si="14"/>
        <v>0</v>
      </c>
      <c r="P37" s="3">
        <f t="shared" ca="1" si="15"/>
        <v>0</v>
      </c>
      <c r="Q37" s="3">
        <f t="shared" ca="1" si="16"/>
        <v>5375.0793994405931</v>
      </c>
      <c r="R37" s="3">
        <f t="shared" ca="1" si="17"/>
        <v>29275.483853521087</v>
      </c>
      <c r="S37" s="3">
        <f t="shared" ca="1" si="18"/>
        <v>334155.48385352106</v>
      </c>
      <c r="T37" s="3">
        <f t="shared" ca="1" si="19"/>
        <v>223157.80008979348</v>
      </c>
      <c r="U37" s="5">
        <f t="shared" ca="1" si="20"/>
        <v>110997.68376372757</v>
      </c>
    </row>
    <row r="38" spans="1:32" x14ac:dyDescent="0.35">
      <c r="A38">
        <f t="shared" ca="1" si="2"/>
        <v>1</v>
      </c>
      <c r="B38" s="4" t="str">
        <f t="shared" ca="1" si="0"/>
        <v>M</v>
      </c>
      <c r="C38" s="3">
        <f t="shared" ca="1" si="3"/>
        <v>6</v>
      </c>
      <c r="D38" s="3">
        <f t="shared" ca="1" si="1"/>
        <v>40</v>
      </c>
      <c r="E38" s="3" t="str">
        <f t="shared" ca="1" si="4"/>
        <v>Art</v>
      </c>
      <c r="F38" s="3">
        <f t="shared" ca="1" si="5"/>
        <v>6</v>
      </c>
      <c r="G38" s="3" t="str">
        <f t="shared" ca="1" si="6"/>
        <v>Doctorate</v>
      </c>
      <c r="H38" s="3">
        <f t="shared" ca="1" si="7"/>
        <v>0</v>
      </c>
      <c r="I38" s="3">
        <f t="shared" ca="1" si="8"/>
        <v>2</v>
      </c>
      <c r="J38" s="3">
        <f t="shared" ca="1" si="9"/>
        <v>14</v>
      </c>
      <c r="K38" s="3" t="str">
        <f t="shared" ca="1" si="10"/>
        <v>Karnataka</v>
      </c>
      <c r="L38" s="3">
        <f t="shared" ca="1" si="11"/>
        <v>38339</v>
      </c>
      <c r="M38" s="3">
        <f t="shared" ca="1" si="12"/>
        <v>268373</v>
      </c>
      <c r="N38" s="3">
        <f t="shared" ca="1" si="13"/>
        <v>260616.7467877552</v>
      </c>
      <c r="O38" s="3">
        <f t="shared" ca="1" si="14"/>
        <v>22158.071271573928</v>
      </c>
      <c r="P38" s="3">
        <f t="shared" ca="1" si="15"/>
        <v>5568.4181704805233</v>
      </c>
      <c r="Q38" s="3">
        <f t="shared" ca="1" si="16"/>
        <v>3406.6358015705691</v>
      </c>
      <c r="R38" s="3">
        <f t="shared" ca="1" si="17"/>
        <v>19221.248067176282</v>
      </c>
      <c r="S38" s="3">
        <f t="shared" ca="1" si="18"/>
        <v>309752.31933875021</v>
      </c>
      <c r="T38" s="3">
        <f t="shared" ca="1" si="19"/>
        <v>269591.80075980624</v>
      </c>
      <c r="U38" s="5">
        <f t="shared" ca="1" si="20"/>
        <v>40160.518578943971</v>
      </c>
    </row>
    <row r="39" spans="1:32" x14ac:dyDescent="0.35">
      <c r="A39">
        <f t="shared" ca="1" si="2"/>
        <v>1</v>
      </c>
      <c r="B39" s="4" t="str">
        <f t="shared" ca="1" si="0"/>
        <v>M</v>
      </c>
      <c r="C39" s="3">
        <f t="shared" ca="1" si="3"/>
        <v>5</v>
      </c>
      <c r="D39" s="3">
        <f t="shared" ca="1" si="1"/>
        <v>38</v>
      </c>
      <c r="E39" s="3" t="str">
        <f t="shared" ca="1" si="4"/>
        <v>Research</v>
      </c>
      <c r="F39" s="3">
        <f t="shared" ca="1" si="5"/>
        <v>5</v>
      </c>
      <c r="G39" s="3" t="str">
        <f t="shared" ca="1" si="6"/>
        <v>Diploma</v>
      </c>
      <c r="H39" s="3">
        <f t="shared" ca="1" si="7"/>
        <v>1</v>
      </c>
      <c r="I39" s="3">
        <f t="shared" ca="1" si="8"/>
        <v>1</v>
      </c>
      <c r="J39" s="3">
        <f t="shared" ca="1" si="9"/>
        <v>24</v>
      </c>
      <c r="K39" s="3" t="str">
        <f t="shared" ca="1" si="10"/>
        <v>Tamil Nadu</v>
      </c>
      <c r="L39" s="3">
        <f t="shared" ca="1" si="11"/>
        <v>25703</v>
      </c>
      <c r="M39" s="3">
        <f t="shared" ca="1" si="12"/>
        <v>179921</v>
      </c>
      <c r="N39" s="3">
        <f t="shared" ca="1" si="13"/>
        <v>72135.426580800631</v>
      </c>
      <c r="O39" s="3">
        <f t="shared" ca="1" si="14"/>
        <v>14844.182515550328</v>
      </c>
      <c r="P39" s="3">
        <f t="shared" ca="1" si="15"/>
        <v>4437.2280550252808</v>
      </c>
      <c r="Q39" s="3">
        <f t="shared" ca="1" si="16"/>
        <v>7934.1809174208329</v>
      </c>
      <c r="R39" s="3">
        <f t="shared" ca="1" si="17"/>
        <v>24098.841100786718</v>
      </c>
      <c r="S39" s="3">
        <f t="shared" ca="1" si="18"/>
        <v>218864.02361633704</v>
      </c>
      <c r="T39" s="3">
        <f t="shared" ca="1" si="19"/>
        <v>84506.835553246739</v>
      </c>
      <c r="U39" s="5">
        <f t="shared" ca="1" si="20"/>
        <v>134357.18806309032</v>
      </c>
    </row>
    <row r="40" spans="1:32" x14ac:dyDescent="0.35">
      <c r="A40">
        <f t="shared" ca="1" si="2"/>
        <v>1</v>
      </c>
      <c r="B40" s="4" t="str">
        <f t="shared" ca="1" si="0"/>
        <v>M</v>
      </c>
      <c r="C40" s="3">
        <f t="shared" ca="1" si="3"/>
        <v>3</v>
      </c>
      <c r="D40" s="3">
        <f t="shared" ca="1" si="1"/>
        <v>28</v>
      </c>
      <c r="E40" s="3" t="str">
        <f t="shared" ca="1" si="4"/>
        <v>IT</v>
      </c>
      <c r="F40" s="3">
        <f t="shared" ca="1" si="5"/>
        <v>2</v>
      </c>
      <c r="G40" s="3" t="str">
        <f t="shared" ca="1" si="6"/>
        <v>Senior Secondary</v>
      </c>
      <c r="H40" s="3">
        <f t="shared" ca="1" si="7"/>
        <v>4</v>
      </c>
      <c r="I40" s="3">
        <f t="shared" ca="1" si="8"/>
        <v>1</v>
      </c>
      <c r="J40" s="3">
        <f t="shared" ca="1" si="9"/>
        <v>11</v>
      </c>
      <c r="K40" s="3" t="str">
        <f t="shared" ca="1" si="10"/>
        <v>Goa</v>
      </c>
      <c r="L40" s="3">
        <f t="shared" ca="1" si="11"/>
        <v>42562</v>
      </c>
      <c r="M40" s="3">
        <f t="shared" ca="1" si="12"/>
        <v>340496</v>
      </c>
      <c r="N40" s="3">
        <f t="shared" ca="1" si="13"/>
        <v>174839.1458639405</v>
      </c>
      <c r="O40" s="3">
        <f t="shared" ca="1" si="14"/>
        <v>17659.024475113747</v>
      </c>
      <c r="P40" s="3">
        <f t="shared" ca="1" si="15"/>
        <v>11613.225123152848</v>
      </c>
      <c r="Q40" s="3">
        <f t="shared" ca="1" si="16"/>
        <v>15861.758565703494</v>
      </c>
      <c r="R40" s="3">
        <f t="shared" ca="1" si="17"/>
        <v>41108.907993234294</v>
      </c>
      <c r="S40" s="3">
        <f t="shared" ca="1" si="18"/>
        <v>399263.93246834801</v>
      </c>
      <c r="T40" s="3">
        <f t="shared" ca="1" si="19"/>
        <v>202314.12955279683</v>
      </c>
      <c r="U40" s="5">
        <f t="shared" ca="1" si="20"/>
        <v>196949.80291555118</v>
      </c>
    </row>
    <row r="41" spans="1:32" x14ac:dyDescent="0.35">
      <c r="A41">
        <f t="shared" ca="1" si="2"/>
        <v>2</v>
      </c>
      <c r="B41" s="4" t="str">
        <f t="shared" ca="1" si="0"/>
        <v>F</v>
      </c>
      <c r="C41" s="3">
        <f t="shared" ca="1" si="3"/>
        <v>3</v>
      </c>
      <c r="D41" s="3">
        <f t="shared" ca="1" si="1"/>
        <v>39</v>
      </c>
      <c r="E41" s="3" t="str">
        <f t="shared" ca="1" si="4"/>
        <v>IT</v>
      </c>
      <c r="F41" s="3">
        <f t="shared" ca="1" si="5"/>
        <v>3</v>
      </c>
      <c r="G41" s="3" t="str">
        <f t="shared" ca="1" si="6"/>
        <v>UG</v>
      </c>
      <c r="H41" s="3">
        <f t="shared" ca="1" si="7"/>
        <v>0</v>
      </c>
      <c r="I41" s="3">
        <f t="shared" ca="1" si="8"/>
        <v>0</v>
      </c>
      <c r="J41" s="3">
        <f t="shared" ca="1" si="9"/>
        <v>27</v>
      </c>
      <c r="K41" s="3" t="str">
        <f t="shared" ca="1" si="10"/>
        <v>Uttrakhand</v>
      </c>
      <c r="L41" s="3">
        <f t="shared" ca="1" si="11"/>
        <v>88182</v>
      </c>
      <c r="M41" s="3">
        <f t="shared" ca="1" si="12"/>
        <v>617274</v>
      </c>
      <c r="N41" s="3">
        <f t="shared" ca="1" si="13"/>
        <v>10408.751310679345</v>
      </c>
      <c r="O41" s="3">
        <f t="shared" ca="1" si="14"/>
        <v>0</v>
      </c>
      <c r="P41" s="3">
        <f t="shared" ca="1" si="15"/>
        <v>0</v>
      </c>
      <c r="Q41" s="3">
        <f t="shared" ca="1" si="16"/>
        <v>38965.693699147792</v>
      </c>
      <c r="R41" s="3">
        <f t="shared" ca="1" si="17"/>
        <v>81486.788848744036</v>
      </c>
      <c r="S41" s="3">
        <f t="shared" ca="1" si="18"/>
        <v>698760.78884874401</v>
      </c>
      <c r="T41" s="3">
        <f t="shared" ca="1" si="19"/>
        <v>49374.445009827134</v>
      </c>
      <c r="U41" s="5">
        <f t="shared" ca="1" si="20"/>
        <v>649386.34383891686</v>
      </c>
    </row>
    <row r="42" spans="1:32" x14ac:dyDescent="0.35">
      <c r="A42">
        <f t="shared" ca="1" si="2"/>
        <v>1</v>
      </c>
      <c r="B42" s="4" t="str">
        <f t="shared" ca="1" si="0"/>
        <v>M</v>
      </c>
      <c r="C42" s="3">
        <f t="shared" ca="1" si="3"/>
        <v>4</v>
      </c>
      <c r="D42" s="3">
        <f t="shared" ca="1" si="1"/>
        <v>25</v>
      </c>
      <c r="E42" s="3" t="str">
        <f t="shared" ca="1" si="4"/>
        <v>Accounting</v>
      </c>
      <c r="F42" s="3">
        <f t="shared" ca="1" si="5"/>
        <v>3</v>
      </c>
      <c r="G42" s="3" t="str">
        <f t="shared" ca="1" si="6"/>
        <v>UG</v>
      </c>
      <c r="H42" s="3">
        <f t="shared" ca="1" si="7"/>
        <v>3</v>
      </c>
      <c r="I42" s="3">
        <f t="shared" ca="1" si="8"/>
        <v>2</v>
      </c>
      <c r="J42" s="3">
        <f t="shared" ca="1" si="9"/>
        <v>16</v>
      </c>
      <c r="K42" s="3" t="str">
        <f t="shared" ca="1" si="10"/>
        <v>Madhya Pradesh</v>
      </c>
      <c r="L42" s="3">
        <f t="shared" ca="1" si="11"/>
        <v>78359</v>
      </c>
      <c r="M42" s="3">
        <f t="shared" ca="1" si="12"/>
        <v>391795</v>
      </c>
      <c r="N42" s="3">
        <f t="shared" ca="1" si="13"/>
        <v>108491.49600664063</v>
      </c>
      <c r="O42" s="3">
        <f t="shared" ca="1" si="14"/>
        <v>46424.155328832894</v>
      </c>
      <c r="P42" s="3">
        <f t="shared" ca="1" si="15"/>
        <v>14357.029697819165</v>
      </c>
      <c r="Q42" s="3">
        <f t="shared" ca="1" si="16"/>
        <v>8437.6676609748192</v>
      </c>
      <c r="R42" s="3">
        <f t="shared" ca="1" si="17"/>
        <v>52824.210977654278</v>
      </c>
      <c r="S42" s="3">
        <f t="shared" ca="1" si="18"/>
        <v>491043.36630648718</v>
      </c>
      <c r="T42" s="3">
        <f t="shared" ca="1" si="19"/>
        <v>131286.19336543462</v>
      </c>
      <c r="U42" s="5">
        <f t="shared" ca="1" si="20"/>
        <v>359757.17294105259</v>
      </c>
    </row>
    <row r="43" spans="1:32" x14ac:dyDescent="0.35">
      <c r="A43">
        <f t="shared" ca="1" si="2"/>
        <v>1</v>
      </c>
      <c r="B43" s="4" t="str">
        <f t="shared" ca="1" si="0"/>
        <v>M</v>
      </c>
      <c r="C43" s="3">
        <f t="shared" ca="1" si="3"/>
        <v>3</v>
      </c>
      <c r="D43" s="3">
        <f t="shared" ca="1" si="1"/>
        <v>33</v>
      </c>
      <c r="E43" s="3" t="str">
        <f t="shared" ca="1" si="4"/>
        <v>IT</v>
      </c>
      <c r="F43" s="3">
        <f t="shared" ca="1" si="5"/>
        <v>2</v>
      </c>
      <c r="G43" s="3" t="str">
        <f t="shared" ca="1" si="6"/>
        <v>Senior Secondary</v>
      </c>
      <c r="H43" s="3">
        <f t="shared" ca="1" si="7"/>
        <v>1</v>
      </c>
      <c r="I43" s="3">
        <f t="shared" ca="1" si="8"/>
        <v>2</v>
      </c>
      <c r="J43" s="3">
        <f t="shared" ca="1" si="9"/>
        <v>16</v>
      </c>
      <c r="K43" s="3" t="str">
        <f t="shared" ca="1" si="10"/>
        <v>Madhya Pradesh</v>
      </c>
      <c r="L43" s="3">
        <f t="shared" ca="1" si="11"/>
        <v>25579</v>
      </c>
      <c r="M43" s="3">
        <f t="shared" ca="1" si="12"/>
        <v>204632</v>
      </c>
      <c r="N43" s="3">
        <f t="shared" ca="1" si="13"/>
        <v>103743.83963489217</v>
      </c>
      <c r="O43" s="3">
        <f t="shared" ca="1" si="14"/>
        <v>44705.223383517507</v>
      </c>
      <c r="P43" s="3">
        <f t="shared" ca="1" si="15"/>
        <v>15703.346996907327</v>
      </c>
      <c r="Q43" s="3">
        <f t="shared" ca="1" si="16"/>
        <v>7226.3975903250221</v>
      </c>
      <c r="R43" s="3">
        <f t="shared" ca="1" si="17"/>
        <v>12412.987452195059</v>
      </c>
      <c r="S43" s="3">
        <f t="shared" ca="1" si="18"/>
        <v>261750.21083571255</v>
      </c>
      <c r="T43" s="3">
        <f t="shared" ca="1" si="19"/>
        <v>126673.58422212453</v>
      </c>
      <c r="U43" s="5">
        <f t="shared" ca="1" si="20"/>
        <v>135076.62661358801</v>
      </c>
    </row>
    <row r="44" spans="1:32" x14ac:dyDescent="0.35">
      <c r="A44">
        <f t="shared" ca="1" si="2"/>
        <v>2</v>
      </c>
      <c r="B44" s="4" t="str">
        <f t="shared" ca="1" si="0"/>
        <v>F</v>
      </c>
      <c r="C44" s="3">
        <f t="shared" ca="1" si="3"/>
        <v>5</v>
      </c>
      <c r="D44" s="3">
        <f t="shared" ca="1" si="1"/>
        <v>36</v>
      </c>
      <c r="E44" s="3" t="str">
        <f t="shared" ca="1" si="4"/>
        <v>Research</v>
      </c>
      <c r="F44" s="3">
        <f t="shared" ca="1" si="5"/>
        <v>5</v>
      </c>
      <c r="G44" s="3" t="str">
        <f t="shared" ca="1" si="6"/>
        <v>Diploma</v>
      </c>
      <c r="H44" s="3">
        <f t="shared" ca="1" si="7"/>
        <v>1</v>
      </c>
      <c r="I44" s="3">
        <f t="shared" ca="1" si="8"/>
        <v>3</v>
      </c>
      <c r="J44" s="3">
        <f t="shared" ca="1" si="9"/>
        <v>26</v>
      </c>
      <c r="K44" s="3" t="str">
        <f t="shared" ca="1" si="10"/>
        <v>Tripura</v>
      </c>
      <c r="L44" s="3">
        <f t="shared" ca="1" si="11"/>
        <v>31740</v>
      </c>
      <c r="M44" s="3">
        <f t="shared" ca="1" si="12"/>
        <v>253920</v>
      </c>
      <c r="N44" s="3">
        <f t="shared" ca="1" si="13"/>
        <v>86232.446117743224</v>
      </c>
      <c r="O44" s="3">
        <f t="shared" ca="1" si="14"/>
        <v>58341.554591204433</v>
      </c>
      <c r="P44" s="3">
        <f t="shared" ca="1" si="15"/>
        <v>16238.434975797651</v>
      </c>
      <c r="Q44" s="3">
        <f t="shared" ca="1" si="16"/>
        <v>17340.662448700106</v>
      </c>
      <c r="R44" s="3">
        <f t="shared" ca="1" si="17"/>
        <v>4036.741533531721</v>
      </c>
      <c r="S44" s="3">
        <f t="shared" ca="1" si="18"/>
        <v>316298.2961247362</v>
      </c>
      <c r="T44" s="3">
        <f t="shared" ca="1" si="19"/>
        <v>119811.54354224098</v>
      </c>
      <c r="U44" s="5">
        <f t="shared" ca="1" si="20"/>
        <v>196486.75258249522</v>
      </c>
    </row>
    <row r="45" spans="1:32" x14ac:dyDescent="0.35">
      <c r="A45">
        <f t="shared" ca="1" si="2"/>
        <v>2</v>
      </c>
      <c r="B45" s="4" t="str">
        <f t="shared" ca="1" si="0"/>
        <v>F</v>
      </c>
      <c r="C45" s="3">
        <f t="shared" ca="1" si="3"/>
        <v>5</v>
      </c>
      <c r="D45" s="3">
        <f t="shared" ca="1" si="1"/>
        <v>38</v>
      </c>
      <c r="E45" s="3" t="str">
        <f t="shared" ca="1" si="4"/>
        <v>Research</v>
      </c>
      <c r="F45" s="3">
        <f t="shared" ca="1" si="5"/>
        <v>5</v>
      </c>
      <c r="G45" s="3" t="str">
        <f t="shared" ca="1" si="6"/>
        <v>Diploma</v>
      </c>
      <c r="H45" s="3">
        <f t="shared" ca="1" si="7"/>
        <v>4</v>
      </c>
      <c r="I45" s="3">
        <f t="shared" ca="1" si="8"/>
        <v>2</v>
      </c>
      <c r="J45" s="3">
        <f t="shared" ca="1" si="9"/>
        <v>14</v>
      </c>
      <c r="K45" s="3" t="str">
        <f t="shared" ca="1" si="10"/>
        <v>Karnataka</v>
      </c>
      <c r="L45" s="3">
        <f t="shared" ca="1" si="11"/>
        <v>46336</v>
      </c>
      <c r="M45" s="3">
        <f t="shared" ca="1" si="12"/>
        <v>278016</v>
      </c>
      <c r="N45" s="3">
        <f t="shared" ca="1" si="13"/>
        <v>57904.37428852664</v>
      </c>
      <c r="O45" s="3">
        <f t="shared" ca="1" si="14"/>
        <v>62238.400497779607</v>
      </c>
      <c r="P45" s="3">
        <f t="shared" ca="1" si="15"/>
        <v>17618.623509423236</v>
      </c>
      <c r="Q45" s="3">
        <f t="shared" ca="1" si="16"/>
        <v>35853.8065249836</v>
      </c>
      <c r="R45" s="3">
        <f t="shared" ca="1" si="17"/>
        <v>365.23926181601718</v>
      </c>
      <c r="S45" s="3">
        <f t="shared" ca="1" si="18"/>
        <v>340619.63975959562</v>
      </c>
      <c r="T45" s="3">
        <f t="shared" ca="1" si="19"/>
        <v>111376.80432293349</v>
      </c>
      <c r="U45" s="5">
        <f t="shared" ca="1" si="20"/>
        <v>229242.83543666214</v>
      </c>
    </row>
    <row r="46" spans="1:32" x14ac:dyDescent="0.35">
      <c r="A46">
        <f t="shared" ca="1" si="2"/>
        <v>2</v>
      </c>
      <c r="B46" s="4" t="str">
        <f t="shared" ca="1" si="0"/>
        <v>F</v>
      </c>
      <c r="C46" s="3">
        <f t="shared" ca="1" si="3"/>
        <v>2</v>
      </c>
      <c r="D46" s="3">
        <f t="shared" ca="1" si="1"/>
        <v>28</v>
      </c>
      <c r="E46" s="3" t="str">
        <f t="shared" ca="1" si="4"/>
        <v>Healthcare</v>
      </c>
      <c r="F46" s="3">
        <f t="shared" ca="1" si="5"/>
        <v>6</v>
      </c>
      <c r="G46" s="3" t="str">
        <f t="shared" ca="1" si="6"/>
        <v>Doctorate</v>
      </c>
      <c r="H46" s="3">
        <f t="shared" ca="1" si="7"/>
        <v>2</v>
      </c>
      <c r="I46" s="3">
        <f t="shared" ca="1" si="8"/>
        <v>0</v>
      </c>
      <c r="J46" s="3">
        <f t="shared" ca="1" si="9"/>
        <v>18</v>
      </c>
      <c r="K46" s="3" t="str">
        <f t="shared" ca="1" si="10"/>
        <v>Meghalya</v>
      </c>
      <c r="L46" s="3">
        <f t="shared" ca="1" si="11"/>
        <v>42681</v>
      </c>
      <c r="M46" s="3">
        <f t="shared" ca="1" si="12"/>
        <v>256086</v>
      </c>
      <c r="N46" s="3">
        <f t="shared" ca="1" si="13"/>
        <v>143759.69952094869</v>
      </c>
      <c r="O46" s="3">
        <f t="shared" ca="1" si="14"/>
        <v>0</v>
      </c>
      <c r="P46" s="3">
        <f t="shared" ca="1" si="15"/>
        <v>0</v>
      </c>
      <c r="Q46" s="3">
        <f t="shared" ca="1" si="16"/>
        <v>38537.555249658595</v>
      </c>
      <c r="R46" s="3">
        <f t="shared" ca="1" si="17"/>
        <v>39109.137004404722</v>
      </c>
      <c r="S46" s="3">
        <f t="shared" ca="1" si="18"/>
        <v>295195.13700440474</v>
      </c>
      <c r="T46" s="3">
        <f t="shared" ca="1" si="19"/>
        <v>182297.25477060728</v>
      </c>
      <c r="U46" s="5">
        <f t="shared" ca="1" si="20"/>
        <v>112897.88223379746</v>
      </c>
    </row>
    <row r="47" spans="1:32" x14ac:dyDescent="0.35">
      <c r="A47">
        <f t="shared" ca="1" si="2"/>
        <v>2</v>
      </c>
      <c r="B47" s="4" t="str">
        <f t="shared" ca="1" si="0"/>
        <v>F</v>
      </c>
      <c r="C47" s="3">
        <f t="shared" ca="1" si="3"/>
        <v>1</v>
      </c>
      <c r="D47" s="3">
        <f t="shared" ca="1" si="1"/>
        <v>18</v>
      </c>
      <c r="E47" s="3" t="str">
        <f t="shared" ca="1" si="4"/>
        <v>Engineering</v>
      </c>
      <c r="F47" s="3">
        <f t="shared" ca="1" si="5"/>
        <v>5</v>
      </c>
      <c r="G47" s="3" t="str">
        <f t="shared" ca="1" si="6"/>
        <v>Diploma</v>
      </c>
      <c r="H47" s="3">
        <f t="shared" ca="1" si="7"/>
        <v>0</v>
      </c>
      <c r="I47" s="3">
        <f t="shared" ca="1" si="8"/>
        <v>1</v>
      </c>
      <c r="J47" s="3">
        <f t="shared" ca="1" si="9"/>
        <v>17</v>
      </c>
      <c r="K47" s="3" t="str">
        <f t="shared" ca="1" si="10"/>
        <v xml:space="preserve">Manipur </v>
      </c>
      <c r="L47" s="3">
        <f t="shared" ca="1" si="11"/>
        <v>74569</v>
      </c>
      <c r="M47" s="3">
        <f t="shared" ca="1" si="12"/>
        <v>671121</v>
      </c>
      <c r="N47" s="3">
        <f t="shared" ca="1" si="13"/>
        <v>219998.19181592969</v>
      </c>
      <c r="O47" s="3">
        <f t="shared" ca="1" si="14"/>
        <v>12745.061564842146</v>
      </c>
      <c r="P47" s="3">
        <f t="shared" ca="1" si="15"/>
        <v>957.5457612770856</v>
      </c>
      <c r="Q47" s="3">
        <f t="shared" ca="1" si="16"/>
        <v>9321.6473622855647</v>
      </c>
      <c r="R47" s="3">
        <f t="shared" ca="1" si="17"/>
        <v>11677.16254833655</v>
      </c>
      <c r="S47" s="3">
        <f t="shared" ca="1" si="18"/>
        <v>695543.22411317867</v>
      </c>
      <c r="T47" s="3">
        <f t="shared" ca="1" si="19"/>
        <v>230277.38493949233</v>
      </c>
      <c r="U47" s="5">
        <f t="shared" ca="1" si="20"/>
        <v>465265.83917368634</v>
      </c>
    </row>
    <row r="48" spans="1:32" x14ac:dyDescent="0.35">
      <c r="A48">
        <f t="shared" ca="1" si="2"/>
        <v>2</v>
      </c>
      <c r="B48" s="4" t="str">
        <f t="shared" ca="1" si="0"/>
        <v>F</v>
      </c>
      <c r="C48" s="3">
        <f t="shared" ca="1" si="3"/>
        <v>5</v>
      </c>
      <c r="D48" s="3">
        <f t="shared" ca="1" si="1"/>
        <v>33</v>
      </c>
      <c r="E48" s="3" t="str">
        <f t="shared" ca="1" si="4"/>
        <v>Research</v>
      </c>
      <c r="F48" s="3">
        <f t="shared" ca="1" si="5"/>
        <v>3</v>
      </c>
      <c r="G48" s="3" t="str">
        <f t="shared" ca="1" si="6"/>
        <v>UG</v>
      </c>
      <c r="H48" s="3">
        <f t="shared" ca="1" si="7"/>
        <v>1</v>
      </c>
      <c r="I48" s="3">
        <f t="shared" ca="1" si="8"/>
        <v>2</v>
      </c>
      <c r="J48" s="3">
        <f t="shared" ca="1" si="9"/>
        <v>15</v>
      </c>
      <c r="K48" s="3" t="str">
        <f t="shared" ca="1" si="10"/>
        <v>Kerela</v>
      </c>
      <c r="L48" s="3">
        <f t="shared" ca="1" si="11"/>
        <v>28916</v>
      </c>
      <c r="M48" s="3">
        <f t="shared" ca="1" si="12"/>
        <v>173496</v>
      </c>
      <c r="N48" s="3">
        <f t="shared" ca="1" si="13"/>
        <v>65605.852455690649</v>
      </c>
      <c r="O48" s="3">
        <f t="shared" ca="1" si="14"/>
        <v>14306.305031931062</v>
      </c>
      <c r="P48" s="3">
        <f t="shared" ca="1" si="15"/>
        <v>8279.3892869327774</v>
      </c>
      <c r="Q48" s="3">
        <f t="shared" ca="1" si="16"/>
        <v>17912.262488673041</v>
      </c>
      <c r="R48" s="3">
        <f t="shared" ca="1" si="17"/>
        <v>21595.942887834593</v>
      </c>
      <c r="S48" s="3">
        <f t="shared" ca="1" si="18"/>
        <v>209398.24791976565</v>
      </c>
      <c r="T48" s="3">
        <f t="shared" ca="1" si="19"/>
        <v>91797.50423129648</v>
      </c>
      <c r="U48" s="5">
        <f t="shared" ca="1" si="20"/>
        <v>117600.74368846917</v>
      </c>
    </row>
    <row r="49" spans="1:21" x14ac:dyDescent="0.35">
      <c r="A49">
        <f t="shared" ca="1" si="2"/>
        <v>2</v>
      </c>
      <c r="B49" s="4" t="str">
        <f t="shared" ca="1" si="0"/>
        <v>F</v>
      </c>
      <c r="C49" s="3">
        <f t="shared" ca="1" si="3"/>
        <v>4</v>
      </c>
      <c r="D49" s="3">
        <f t="shared" ca="1" si="1"/>
        <v>45</v>
      </c>
      <c r="E49" s="3" t="str">
        <f t="shared" ca="1" si="4"/>
        <v>Accounting</v>
      </c>
      <c r="F49" s="3">
        <f t="shared" ca="1" si="5"/>
        <v>7</v>
      </c>
      <c r="G49" s="3" t="str">
        <f t="shared" ca="1" si="6"/>
        <v>Other</v>
      </c>
      <c r="H49" s="3">
        <f t="shared" ca="1" si="7"/>
        <v>3</v>
      </c>
      <c r="I49" s="3">
        <f t="shared" ca="1" si="8"/>
        <v>1</v>
      </c>
      <c r="J49" s="3">
        <f t="shared" ca="1" si="9"/>
        <v>22</v>
      </c>
      <c r="K49" s="3" t="str">
        <f t="shared" ca="1" si="10"/>
        <v>Rajasthan</v>
      </c>
      <c r="L49" s="3">
        <f t="shared" ca="1" si="11"/>
        <v>34529</v>
      </c>
      <c r="M49" s="3">
        <f t="shared" ca="1" si="12"/>
        <v>241703</v>
      </c>
      <c r="N49" s="3">
        <f t="shared" ca="1" si="13"/>
        <v>49317.51862264824</v>
      </c>
      <c r="O49" s="3">
        <f t="shared" ca="1" si="14"/>
        <v>780.0536934085826</v>
      </c>
      <c r="P49" s="3">
        <f t="shared" ca="1" si="15"/>
        <v>479.12323215015545</v>
      </c>
      <c r="Q49" s="3">
        <f t="shared" ca="1" si="16"/>
        <v>27030.623722984892</v>
      </c>
      <c r="R49" s="3">
        <f t="shared" ca="1" si="17"/>
        <v>20930.300602207157</v>
      </c>
      <c r="S49" s="3">
        <f t="shared" ca="1" si="18"/>
        <v>263413.35429561575</v>
      </c>
      <c r="T49" s="3">
        <f t="shared" ca="1" si="19"/>
        <v>76827.265577783284</v>
      </c>
      <c r="U49" s="5">
        <f t="shared" ca="1" si="20"/>
        <v>186586.08871783246</v>
      </c>
    </row>
    <row r="50" spans="1:21" x14ac:dyDescent="0.35">
      <c r="A50">
        <f t="shared" ca="1" si="2"/>
        <v>1</v>
      </c>
      <c r="B50" s="4" t="str">
        <f t="shared" ca="1" si="0"/>
        <v>M</v>
      </c>
      <c r="C50" s="3">
        <f t="shared" ca="1" si="3"/>
        <v>4</v>
      </c>
      <c r="D50" s="3">
        <f t="shared" ca="1" si="1"/>
        <v>40</v>
      </c>
      <c r="E50" s="3" t="str">
        <f t="shared" ca="1" si="4"/>
        <v>Accounting</v>
      </c>
      <c r="F50" s="3">
        <f t="shared" ca="1" si="5"/>
        <v>4</v>
      </c>
      <c r="G50" s="3" t="str">
        <f t="shared" ca="1" si="6"/>
        <v>PG</v>
      </c>
      <c r="H50" s="3">
        <f t="shared" ca="1" si="7"/>
        <v>0</v>
      </c>
      <c r="I50" s="3">
        <f t="shared" ca="1" si="8"/>
        <v>2</v>
      </c>
      <c r="J50" s="3">
        <f t="shared" ca="1" si="9"/>
        <v>17</v>
      </c>
      <c r="K50" s="3" t="str">
        <f t="shared" ca="1" si="10"/>
        <v xml:space="preserve">Manipur </v>
      </c>
      <c r="L50" s="3">
        <f t="shared" ca="1" si="11"/>
        <v>93860</v>
      </c>
      <c r="M50" s="3">
        <f t="shared" ca="1" si="12"/>
        <v>563160</v>
      </c>
      <c r="N50" s="3">
        <f t="shared" ca="1" si="13"/>
        <v>8530.3420202559737</v>
      </c>
      <c r="O50" s="3">
        <f t="shared" ca="1" si="14"/>
        <v>76506.588461199281</v>
      </c>
      <c r="P50" s="3">
        <f t="shared" ca="1" si="15"/>
        <v>3737.1410623159727</v>
      </c>
      <c r="Q50" s="3">
        <f t="shared" ca="1" si="16"/>
        <v>59069.940948968135</v>
      </c>
      <c r="R50" s="3">
        <f t="shared" ca="1" si="17"/>
        <v>25867.92916670908</v>
      </c>
      <c r="S50" s="3">
        <f t="shared" ca="1" si="18"/>
        <v>665534.51762790838</v>
      </c>
      <c r="T50" s="3">
        <f t="shared" ca="1" si="19"/>
        <v>71337.424031540082</v>
      </c>
      <c r="U50" s="5">
        <f t="shared" ca="1" si="20"/>
        <v>594197.09359636833</v>
      </c>
    </row>
    <row r="51" spans="1:21" x14ac:dyDescent="0.35">
      <c r="A51">
        <f t="shared" ca="1" si="2"/>
        <v>2</v>
      </c>
      <c r="B51" s="4" t="str">
        <f t="shared" ca="1" si="0"/>
        <v>F</v>
      </c>
      <c r="C51" s="3">
        <f t="shared" ca="1" si="3"/>
        <v>4</v>
      </c>
      <c r="D51" s="3">
        <f t="shared" ca="1" si="1"/>
        <v>32</v>
      </c>
      <c r="E51" s="3" t="str">
        <f t="shared" ca="1" si="4"/>
        <v>Accounting</v>
      </c>
      <c r="F51" s="3">
        <f t="shared" ca="1" si="5"/>
        <v>6</v>
      </c>
      <c r="G51" s="3" t="str">
        <f t="shared" ca="1" si="6"/>
        <v>Doctorate</v>
      </c>
      <c r="H51" s="3">
        <f t="shared" ca="1" si="7"/>
        <v>1</v>
      </c>
      <c r="I51" s="3">
        <f t="shared" ca="1" si="8"/>
        <v>0</v>
      </c>
      <c r="J51" s="3">
        <f t="shared" ca="1" si="9"/>
        <v>2</v>
      </c>
      <c r="K51" s="3" t="str">
        <f t="shared" ca="1" si="10"/>
        <v>Uttar Pradesh</v>
      </c>
      <c r="L51" s="3">
        <f t="shared" ca="1" si="11"/>
        <v>56276</v>
      </c>
      <c r="M51" s="3">
        <f t="shared" ca="1" si="12"/>
        <v>281380</v>
      </c>
      <c r="N51" s="3">
        <f t="shared" ca="1" si="13"/>
        <v>136335.226650525</v>
      </c>
      <c r="O51" s="3">
        <f t="shared" ca="1" si="14"/>
        <v>0</v>
      </c>
      <c r="P51" s="3">
        <f t="shared" ca="1" si="15"/>
        <v>0</v>
      </c>
      <c r="Q51" s="3">
        <f t="shared" ca="1" si="16"/>
        <v>38455.176113062276</v>
      </c>
      <c r="R51" s="3">
        <f t="shared" ca="1" si="17"/>
        <v>23195.292809768966</v>
      </c>
      <c r="S51" s="3">
        <f t="shared" ca="1" si="18"/>
        <v>304575.29280976899</v>
      </c>
      <c r="T51" s="3">
        <f t="shared" ca="1" si="19"/>
        <v>174790.40276358728</v>
      </c>
      <c r="U51" s="5">
        <f t="shared" ca="1" si="20"/>
        <v>129784.89004618171</v>
      </c>
    </row>
    <row r="52" spans="1:21" x14ac:dyDescent="0.35">
      <c r="A52">
        <f t="shared" ca="1" si="2"/>
        <v>2</v>
      </c>
      <c r="B52" s="4" t="str">
        <f t="shared" ca="1" si="0"/>
        <v>F</v>
      </c>
      <c r="C52" s="3">
        <f t="shared" ca="1" si="3"/>
        <v>7</v>
      </c>
      <c r="D52" s="3">
        <f t="shared" ca="1" si="1"/>
        <v>18</v>
      </c>
      <c r="E52" s="3" t="str">
        <f t="shared" ca="1" si="4"/>
        <v>Other</v>
      </c>
      <c r="F52" s="3">
        <f t="shared" ca="1" si="5"/>
        <v>2</v>
      </c>
      <c r="G52" s="3" t="str">
        <f t="shared" ca="1" si="6"/>
        <v>Senior Secondary</v>
      </c>
      <c r="H52" s="3">
        <f t="shared" ca="1" si="7"/>
        <v>2</v>
      </c>
      <c r="I52" s="3">
        <f t="shared" ca="1" si="8"/>
        <v>3</v>
      </c>
      <c r="J52" s="3">
        <f t="shared" ca="1" si="9"/>
        <v>26</v>
      </c>
      <c r="K52" s="3" t="str">
        <f t="shared" ca="1" si="10"/>
        <v>Tripura</v>
      </c>
      <c r="L52" s="3">
        <f t="shared" ca="1" si="11"/>
        <v>36116</v>
      </c>
      <c r="M52" s="3">
        <f t="shared" ca="1" si="12"/>
        <v>216696</v>
      </c>
      <c r="N52" s="3">
        <f t="shared" ca="1" si="13"/>
        <v>191894.61005358546</v>
      </c>
      <c r="O52" s="3">
        <f t="shared" ca="1" si="14"/>
        <v>23790.976069580378</v>
      </c>
      <c r="P52" s="3">
        <f t="shared" ca="1" si="15"/>
        <v>15939.174582475498</v>
      </c>
      <c r="Q52" s="3">
        <f t="shared" ca="1" si="16"/>
        <v>7809.9264605425797</v>
      </c>
      <c r="R52" s="3">
        <f t="shared" ca="1" si="17"/>
        <v>12789.134466627076</v>
      </c>
      <c r="S52" s="3">
        <f t="shared" ca="1" si="18"/>
        <v>253276.11053620747</v>
      </c>
      <c r="T52" s="3">
        <f t="shared" ca="1" si="19"/>
        <v>215643.71109660354</v>
      </c>
      <c r="U52" s="5">
        <f t="shared" ca="1" si="20"/>
        <v>37632.399439603934</v>
      </c>
    </row>
    <row r="53" spans="1:21" x14ac:dyDescent="0.35">
      <c r="A53">
        <f t="shared" ca="1" si="2"/>
        <v>1</v>
      </c>
      <c r="B53" s="4" t="str">
        <f t="shared" ca="1" si="0"/>
        <v>M</v>
      </c>
      <c r="C53" s="3">
        <f t="shared" ca="1" si="3"/>
        <v>1</v>
      </c>
      <c r="D53" s="3">
        <f t="shared" ca="1" si="1"/>
        <v>31</v>
      </c>
      <c r="E53" s="3" t="str">
        <f t="shared" ca="1" si="4"/>
        <v>Engineering</v>
      </c>
      <c r="F53" s="3">
        <f t="shared" ca="1" si="5"/>
        <v>2</v>
      </c>
      <c r="G53" s="3" t="str">
        <f t="shared" ca="1" si="6"/>
        <v>Senior Secondary</v>
      </c>
      <c r="H53" s="3">
        <f t="shared" ca="1" si="7"/>
        <v>4</v>
      </c>
      <c r="I53" s="3">
        <f t="shared" ca="1" si="8"/>
        <v>3</v>
      </c>
      <c r="J53" s="3">
        <f t="shared" ca="1" si="9"/>
        <v>1</v>
      </c>
      <c r="K53" s="3" t="str">
        <f t="shared" ca="1" si="10"/>
        <v>Haryana</v>
      </c>
      <c r="L53" s="3">
        <f t="shared" ca="1" si="11"/>
        <v>60270</v>
      </c>
      <c r="M53" s="3">
        <f t="shared" ca="1" si="12"/>
        <v>421890</v>
      </c>
      <c r="N53" s="3">
        <f t="shared" ca="1" si="13"/>
        <v>291740.43007056072</v>
      </c>
      <c r="O53" s="3">
        <f t="shared" ca="1" si="14"/>
        <v>80511.040402680243</v>
      </c>
      <c r="P53" s="3">
        <f t="shared" ca="1" si="15"/>
        <v>17208.958818590749</v>
      </c>
      <c r="Q53" s="3">
        <f t="shared" ca="1" si="16"/>
        <v>53074.465498496982</v>
      </c>
      <c r="R53" s="3">
        <f t="shared" ca="1" si="17"/>
        <v>49127.001264391525</v>
      </c>
      <c r="S53" s="3">
        <f t="shared" ca="1" si="18"/>
        <v>551528.04166707175</v>
      </c>
      <c r="T53" s="3">
        <f t="shared" ca="1" si="19"/>
        <v>362023.8543876484</v>
      </c>
      <c r="U53" s="5">
        <f t="shared" ca="1" si="20"/>
        <v>189504.18727942335</v>
      </c>
    </row>
    <row r="54" spans="1:21" x14ac:dyDescent="0.35">
      <c r="A54">
        <f t="shared" ca="1" si="2"/>
        <v>2</v>
      </c>
      <c r="B54" s="4" t="str">
        <f t="shared" ca="1" si="0"/>
        <v>F</v>
      </c>
      <c r="C54" s="3">
        <f t="shared" ca="1" si="3"/>
        <v>3</v>
      </c>
      <c r="D54" s="3">
        <f t="shared" ca="1" si="1"/>
        <v>34</v>
      </c>
      <c r="E54" s="3" t="str">
        <f t="shared" ca="1" si="4"/>
        <v>IT</v>
      </c>
      <c r="F54" s="3">
        <f t="shared" ca="1" si="5"/>
        <v>7</v>
      </c>
      <c r="G54" s="3" t="str">
        <f t="shared" ca="1" si="6"/>
        <v>Other</v>
      </c>
      <c r="H54" s="3">
        <f t="shared" ca="1" si="7"/>
        <v>3</v>
      </c>
      <c r="I54" s="3">
        <f t="shared" ca="1" si="8"/>
        <v>2</v>
      </c>
      <c r="J54" s="3">
        <f t="shared" ca="1" si="9"/>
        <v>9</v>
      </c>
      <c r="K54" s="3" t="str">
        <f t="shared" ca="1" si="10"/>
        <v>Chhattisgarh</v>
      </c>
      <c r="L54" s="3">
        <f t="shared" ca="1" si="11"/>
        <v>57350</v>
      </c>
      <c r="M54" s="3">
        <f t="shared" ca="1" si="12"/>
        <v>516150</v>
      </c>
      <c r="N54" s="3">
        <f t="shared" ca="1" si="13"/>
        <v>320896.19380192872</v>
      </c>
      <c r="O54" s="3">
        <f t="shared" ca="1" si="14"/>
        <v>108390.45221347854</v>
      </c>
      <c r="P54" s="3">
        <f t="shared" ca="1" si="15"/>
        <v>38491.617584949716</v>
      </c>
      <c r="Q54" s="3">
        <f t="shared" ca="1" si="16"/>
        <v>6758.6332465238165</v>
      </c>
      <c r="R54" s="3">
        <f t="shared" ca="1" si="17"/>
        <v>26506.639537070987</v>
      </c>
      <c r="S54" s="3">
        <f t="shared" ca="1" si="18"/>
        <v>651047.0917505495</v>
      </c>
      <c r="T54" s="3">
        <f t="shared" ca="1" si="19"/>
        <v>366146.44463340222</v>
      </c>
      <c r="U54" s="5">
        <f t="shared" ca="1" si="20"/>
        <v>284900.64711714728</v>
      </c>
    </row>
    <row r="55" spans="1:21" x14ac:dyDescent="0.35">
      <c r="A55">
        <f t="shared" ca="1" si="2"/>
        <v>2</v>
      </c>
      <c r="B55" s="4" t="str">
        <f t="shared" ca="1" si="0"/>
        <v>F</v>
      </c>
      <c r="C55" s="3">
        <f t="shared" ca="1" si="3"/>
        <v>5</v>
      </c>
      <c r="D55" s="3">
        <f t="shared" ca="1" si="1"/>
        <v>24</v>
      </c>
      <c r="E55" s="3" t="str">
        <f t="shared" ca="1" si="4"/>
        <v>Research</v>
      </c>
      <c r="F55" s="3">
        <f t="shared" ca="1" si="5"/>
        <v>2</v>
      </c>
      <c r="G55" s="3" t="str">
        <f t="shared" ca="1" si="6"/>
        <v>Senior Secondary</v>
      </c>
      <c r="H55" s="3">
        <f t="shared" ca="1" si="7"/>
        <v>2</v>
      </c>
      <c r="I55" s="3">
        <f t="shared" ca="1" si="8"/>
        <v>0</v>
      </c>
      <c r="J55" s="3">
        <f t="shared" ca="1" si="9"/>
        <v>3</v>
      </c>
      <c r="K55" s="3" t="str">
        <f t="shared" ca="1" si="10"/>
        <v>Punjab</v>
      </c>
      <c r="L55" s="3">
        <f t="shared" ca="1" si="11"/>
        <v>37316</v>
      </c>
      <c r="M55" s="3">
        <f t="shared" ca="1" si="12"/>
        <v>223896</v>
      </c>
      <c r="N55" s="3">
        <f t="shared" ca="1" si="13"/>
        <v>144432.45016161911</v>
      </c>
      <c r="O55" s="3">
        <f t="shared" ca="1" si="14"/>
        <v>0</v>
      </c>
      <c r="P55" s="3">
        <f t="shared" ca="1" si="15"/>
        <v>0</v>
      </c>
      <c r="Q55" s="3">
        <f t="shared" ca="1" si="16"/>
        <v>33517.966679804354</v>
      </c>
      <c r="R55" s="3">
        <f t="shared" ca="1" si="17"/>
        <v>171.82823925574624</v>
      </c>
      <c r="S55" s="3">
        <f t="shared" ca="1" si="18"/>
        <v>224067.82823925576</v>
      </c>
      <c r="T55" s="3">
        <f t="shared" ca="1" si="19"/>
        <v>177950.41684142346</v>
      </c>
      <c r="U55" s="5">
        <f t="shared" ca="1" si="20"/>
        <v>46117.4113978323</v>
      </c>
    </row>
    <row r="56" spans="1:21" x14ac:dyDescent="0.35">
      <c r="A56">
        <f t="shared" ca="1" si="2"/>
        <v>2</v>
      </c>
      <c r="B56" s="4" t="str">
        <f t="shared" ca="1" si="0"/>
        <v>F</v>
      </c>
      <c r="C56" s="3">
        <f t="shared" ca="1" si="3"/>
        <v>1</v>
      </c>
      <c r="D56" s="3">
        <f t="shared" ca="1" si="1"/>
        <v>28</v>
      </c>
      <c r="E56" s="3" t="str">
        <f t="shared" ca="1" si="4"/>
        <v>Engineering</v>
      </c>
      <c r="F56" s="3">
        <f t="shared" ca="1" si="5"/>
        <v>1</v>
      </c>
      <c r="G56" s="3" t="str">
        <f t="shared" ca="1" si="6"/>
        <v>Secondary</v>
      </c>
      <c r="H56" s="3">
        <f t="shared" ca="1" si="7"/>
        <v>3</v>
      </c>
      <c r="I56" s="3">
        <f t="shared" ca="1" si="8"/>
        <v>0</v>
      </c>
      <c r="J56" s="3">
        <f t="shared" ca="1" si="9"/>
        <v>10</v>
      </c>
      <c r="K56" s="3" t="str">
        <f t="shared" ca="1" si="10"/>
        <v>Gujarat</v>
      </c>
      <c r="L56" s="3">
        <f t="shared" ca="1" si="11"/>
        <v>26818</v>
      </c>
      <c r="M56" s="3">
        <f t="shared" ca="1" si="12"/>
        <v>134090</v>
      </c>
      <c r="N56" s="3">
        <f t="shared" ca="1" si="13"/>
        <v>42350.029684648194</v>
      </c>
      <c r="O56" s="3">
        <f t="shared" ca="1" si="14"/>
        <v>0</v>
      </c>
      <c r="P56" s="3">
        <f t="shared" ca="1" si="15"/>
        <v>0</v>
      </c>
      <c r="Q56" s="3">
        <f t="shared" ca="1" si="16"/>
        <v>14056.248074320132</v>
      </c>
      <c r="R56" s="3">
        <f t="shared" ca="1" si="17"/>
        <v>19817.385901497102</v>
      </c>
      <c r="S56" s="3">
        <f t="shared" ca="1" si="18"/>
        <v>153907.38590149709</v>
      </c>
      <c r="T56" s="3">
        <f t="shared" ca="1" si="19"/>
        <v>56406.277758968325</v>
      </c>
      <c r="U56" s="5">
        <f t="shared" ca="1" si="20"/>
        <v>97501.10814252877</v>
      </c>
    </row>
    <row r="57" spans="1:21" x14ac:dyDescent="0.35">
      <c r="A57">
        <f t="shared" ca="1" si="2"/>
        <v>1</v>
      </c>
      <c r="B57" s="4" t="str">
        <f t="shared" ca="1" si="0"/>
        <v>M</v>
      </c>
      <c r="C57" s="3">
        <f t="shared" ca="1" si="3"/>
        <v>5</v>
      </c>
      <c r="D57" s="3">
        <f t="shared" ca="1" si="1"/>
        <v>29</v>
      </c>
      <c r="E57" s="3" t="str">
        <f t="shared" ca="1" si="4"/>
        <v>Research</v>
      </c>
      <c r="F57" s="3">
        <f t="shared" ca="1" si="5"/>
        <v>2</v>
      </c>
      <c r="G57" s="3" t="str">
        <f t="shared" ca="1" si="6"/>
        <v>Senior Secondary</v>
      </c>
      <c r="H57" s="3">
        <f t="shared" ca="1" si="7"/>
        <v>3</v>
      </c>
      <c r="I57" s="3">
        <f t="shared" ca="1" si="8"/>
        <v>1</v>
      </c>
      <c r="J57" s="3">
        <f t="shared" ca="1" si="9"/>
        <v>22</v>
      </c>
      <c r="K57" s="3" t="str">
        <f t="shared" ca="1" si="10"/>
        <v>Rajasthan</v>
      </c>
      <c r="L57" s="3">
        <f t="shared" ca="1" si="11"/>
        <v>70719</v>
      </c>
      <c r="M57" s="3">
        <f t="shared" ca="1" si="12"/>
        <v>636471</v>
      </c>
      <c r="N57" s="3">
        <f t="shared" ca="1" si="13"/>
        <v>624896.19407058414</v>
      </c>
      <c r="O57" s="3">
        <f t="shared" ca="1" si="14"/>
        <v>49403.518138673753</v>
      </c>
      <c r="P57" s="3">
        <f t="shared" ca="1" si="15"/>
        <v>47757.029762990351</v>
      </c>
      <c r="Q57" s="3">
        <f t="shared" ca="1" si="16"/>
        <v>63433.284564402231</v>
      </c>
      <c r="R57" s="3">
        <f t="shared" ca="1" si="17"/>
        <v>56988.634721096605</v>
      </c>
      <c r="S57" s="3">
        <f t="shared" ca="1" si="18"/>
        <v>742863.15285977034</v>
      </c>
      <c r="T57" s="3">
        <f t="shared" ca="1" si="19"/>
        <v>736086.50839797664</v>
      </c>
      <c r="U57" s="5">
        <f t="shared" ca="1" si="20"/>
        <v>6776.6444617937086</v>
      </c>
    </row>
    <row r="58" spans="1:21" x14ac:dyDescent="0.35">
      <c r="A58">
        <f t="shared" ca="1" si="2"/>
        <v>1</v>
      </c>
      <c r="B58" s="4" t="str">
        <f t="shared" ca="1" si="0"/>
        <v>M</v>
      </c>
      <c r="C58" s="3">
        <f t="shared" ca="1" si="3"/>
        <v>3</v>
      </c>
      <c r="D58" s="3">
        <f t="shared" ca="1" si="1"/>
        <v>35</v>
      </c>
      <c r="E58" s="3" t="str">
        <f t="shared" ca="1" si="4"/>
        <v>IT</v>
      </c>
      <c r="F58" s="3">
        <f t="shared" ca="1" si="5"/>
        <v>4</v>
      </c>
      <c r="G58" s="3" t="str">
        <f t="shared" ca="1" si="6"/>
        <v>PG</v>
      </c>
      <c r="H58" s="3">
        <f t="shared" ca="1" si="7"/>
        <v>4</v>
      </c>
      <c r="I58" s="3">
        <f t="shared" ca="1" si="8"/>
        <v>2</v>
      </c>
      <c r="J58" s="3">
        <f t="shared" ca="1" si="9"/>
        <v>9</v>
      </c>
      <c r="K58" s="3" t="str">
        <f t="shared" ca="1" si="10"/>
        <v>Chhattisgarh</v>
      </c>
      <c r="L58" s="3">
        <f t="shared" ca="1" si="11"/>
        <v>84202</v>
      </c>
      <c r="M58" s="3">
        <f t="shared" ca="1" si="12"/>
        <v>673616</v>
      </c>
      <c r="N58" s="3">
        <f t="shared" ca="1" si="13"/>
        <v>262453.45797149464</v>
      </c>
      <c r="O58" s="3">
        <f t="shared" ca="1" si="14"/>
        <v>150909.0335802433</v>
      </c>
      <c r="P58" s="3">
        <f t="shared" ca="1" si="15"/>
        <v>40931.285066437573</v>
      </c>
      <c r="Q58" s="3">
        <f t="shared" ca="1" si="16"/>
        <v>62526.249468950671</v>
      </c>
      <c r="R58" s="3">
        <f t="shared" ca="1" si="17"/>
        <v>53673.96348951797</v>
      </c>
      <c r="S58" s="3">
        <f t="shared" ca="1" si="18"/>
        <v>878198.99706976127</v>
      </c>
      <c r="T58" s="3">
        <f t="shared" ca="1" si="19"/>
        <v>365910.99250688287</v>
      </c>
      <c r="U58" s="5">
        <f t="shared" ca="1" si="20"/>
        <v>512288.0045628784</v>
      </c>
    </row>
    <row r="59" spans="1:21" x14ac:dyDescent="0.35">
      <c r="A59">
        <f t="shared" ca="1" si="2"/>
        <v>1</v>
      </c>
      <c r="B59" s="4" t="str">
        <f t="shared" ca="1" si="0"/>
        <v>M</v>
      </c>
      <c r="C59" s="3">
        <f t="shared" ca="1" si="3"/>
        <v>1</v>
      </c>
      <c r="D59" s="3">
        <f t="shared" ca="1" si="1"/>
        <v>32</v>
      </c>
      <c r="E59" s="3" t="str">
        <f t="shared" ca="1" si="4"/>
        <v>Engineering</v>
      </c>
      <c r="F59" s="3">
        <f t="shared" ca="1" si="5"/>
        <v>7</v>
      </c>
      <c r="G59" s="3" t="str">
        <f t="shared" ca="1" si="6"/>
        <v>Other</v>
      </c>
      <c r="H59" s="3">
        <f t="shared" ca="1" si="7"/>
        <v>3</v>
      </c>
      <c r="I59" s="3">
        <f t="shared" ca="1" si="8"/>
        <v>2</v>
      </c>
      <c r="J59" s="3">
        <f t="shared" ca="1" si="9"/>
        <v>9</v>
      </c>
      <c r="K59" s="3" t="str">
        <f t="shared" ca="1" si="10"/>
        <v>Chhattisgarh</v>
      </c>
      <c r="L59" s="3">
        <f t="shared" ca="1" si="11"/>
        <v>26355</v>
      </c>
      <c r="M59" s="3">
        <f t="shared" ca="1" si="12"/>
        <v>131775</v>
      </c>
      <c r="N59" s="3">
        <f t="shared" ca="1" si="13"/>
        <v>57049.459550668471</v>
      </c>
      <c r="O59" s="3">
        <f t="shared" ca="1" si="14"/>
        <v>1386.3106989075336</v>
      </c>
      <c r="P59" s="3">
        <f t="shared" ca="1" si="15"/>
        <v>798.97006613362487</v>
      </c>
      <c r="Q59" s="3">
        <f t="shared" ca="1" si="16"/>
        <v>23897.543406663106</v>
      </c>
      <c r="R59" s="3">
        <f t="shared" ca="1" si="17"/>
        <v>9616.2377560192635</v>
      </c>
      <c r="S59" s="3">
        <f t="shared" ca="1" si="18"/>
        <v>142777.54845492679</v>
      </c>
      <c r="T59" s="3">
        <f t="shared" ca="1" si="19"/>
        <v>81745.973023465194</v>
      </c>
      <c r="U59" s="5">
        <f t="shared" ca="1" si="20"/>
        <v>61031.575431461592</v>
      </c>
    </row>
    <row r="60" spans="1:21" x14ac:dyDescent="0.35">
      <c r="A60">
        <f t="shared" ca="1" si="2"/>
        <v>2</v>
      </c>
      <c r="B60" s="4" t="str">
        <f t="shared" ca="1" si="0"/>
        <v>F</v>
      </c>
      <c r="C60" s="3">
        <f t="shared" ca="1" si="3"/>
        <v>7</v>
      </c>
      <c r="D60" s="3">
        <f t="shared" ca="1" si="1"/>
        <v>38</v>
      </c>
      <c r="E60" s="3" t="str">
        <f t="shared" ca="1" si="4"/>
        <v>Other</v>
      </c>
      <c r="F60" s="3">
        <f t="shared" ca="1" si="5"/>
        <v>5</v>
      </c>
      <c r="G60" s="3" t="str">
        <f t="shared" ca="1" si="6"/>
        <v>Diploma</v>
      </c>
      <c r="H60" s="3">
        <f t="shared" ca="1" si="7"/>
        <v>3</v>
      </c>
      <c r="I60" s="3">
        <f t="shared" ca="1" si="8"/>
        <v>0</v>
      </c>
      <c r="J60" s="3">
        <f t="shared" ca="1" si="9"/>
        <v>16</v>
      </c>
      <c r="K60" s="3" t="str">
        <f t="shared" ca="1" si="10"/>
        <v>Madhya Pradesh</v>
      </c>
      <c r="L60" s="3">
        <f t="shared" ca="1" si="11"/>
        <v>96967</v>
      </c>
      <c r="M60" s="3">
        <f t="shared" ca="1" si="12"/>
        <v>581802</v>
      </c>
      <c r="N60" s="3">
        <f t="shared" ca="1" si="13"/>
        <v>265161.17689423694</v>
      </c>
      <c r="O60" s="3">
        <f t="shared" ca="1" si="14"/>
        <v>0</v>
      </c>
      <c r="P60" s="3">
        <f t="shared" ca="1" si="15"/>
        <v>0</v>
      </c>
      <c r="Q60" s="3">
        <f t="shared" ca="1" si="16"/>
        <v>45494.788868326301</v>
      </c>
      <c r="R60" s="3">
        <f t="shared" ca="1" si="17"/>
        <v>52929.318627857749</v>
      </c>
      <c r="S60" s="3">
        <f t="shared" ca="1" si="18"/>
        <v>634731.31862785772</v>
      </c>
      <c r="T60" s="3">
        <f t="shared" ca="1" si="19"/>
        <v>310655.96576256322</v>
      </c>
      <c r="U60" s="5">
        <f t="shared" ca="1" si="20"/>
        <v>324075.3528652945</v>
      </c>
    </row>
    <row r="61" spans="1:21" x14ac:dyDescent="0.35">
      <c r="A61">
        <f t="shared" ca="1" si="2"/>
        <v>2</v>
      </c>
      <c r="B61" s="4" t="str">
        <f t="shared" ca="1" si="0"/>
        <v>F</v>
      </c>
      <c r="C61" s="3">
        <f t="shared" ca="1" si="3"/>
        <v>3</v>
      </c>
      <c r="D61" s="3">
        <f t="shared" ca="1" si="1"/>
        <v>23</v>
      </c>
      <c r="E61" s="3" t="str">
        <f t="shared" ca="1" si="4"/>
        <v>IT</v>
      </c>
      <c r="F61" s="3">
        <f t="shared" ca="1" si="5"/>
        <v>7</v>
      </c>
      <c r="G61" s="3" t="str">
        <f t="shared" ca="1" si="6"/>
        <v>Other</v>
      </c>
      <c r="H61" s="3">
        <f t="shared" ca="1" si="7"/>
        <v>1</v>
      </c>
      <c r="I61" s="3">
        <f t="shared" ca="1" si="8"/>
        <v>0</v>
      </c>
      <c r="J61" s="3">
        <f t="shared" ca="1" si="9"/>
        <v>5</v>
      </c>
      <c r="K61" s="3" t="str">
        <f t="shared" ca="1" si="10"/>
        <v>Andhra Pradesh</v>
      </c>
      <c r="L61" s="3">
        <f t="shared" ca="1" si="11"/>
        <v>25632</v>
      </c>
      <c r="M61" s="3">
        <f t="shared" ca="1" si="12"/>
        <v>179424</v>
      </c>
      <c r="N61" s="3">
        <f t="shared" ca="1" si="13"/>
        <v>135538.87186813552</v>
      </c>
      <c r="O61" s="3">
        <f t="shared" ca="1" si="14"/>
        <v>0</v>
      </c>
      <c r="P61" s="3">
        <f t="shared" ca="1" si="15"/>
        <v>0</v>
      </c>
      <c r="Q61" s="3">
        <f t="shared" ca="1" si="16"/>
        <v>14799.863501012318</v>
      </c>
      <c r="R61" s="3">
        <f t="shared" ca="1" si="17"/>
        <v>2683.65028195382</v>
      </c>
      <c r="S61" s="3">
        <f t="shared" ca="1" si="18"/>
        <v>182107.65028195383</v>
      </c>
      <c r="T61" s="3">
        <f t="shared" ca="1" si="19"/>
        <v>150338.73536914785</v>
      </c>
      <c r="U61" s="5">
        <f t="shared" ca="1" si="20"/>
        <v>31768.91491280598</v>
      </c>
    </row>
    <row r="62" spans="1:21" x14ac:dyDescent="0.35">
      <c r="A62">
        <f t="shared" ca="1" si="2"/>
        <v>1</v>
      </c>
      <c r="B62" s="4" t="str">
        <f t="shared" ca="1" si="0"/>
        <v>M</v>
      </c>
      <c r="C62" s="3">
        <f t="shared" ca="1" si="3"/>
        <v>6</v>
      </c>
      <c r="D62" s="3">
        <f t="shared" ca="1" si="1"/>
        <v>43</v>
      </c>
      <c r="E62" s="3" t="str">
        <f t="shared" ca="1" si="4"/>
        <v>Art</v>
      </c>
      <c r="F62" s="3">
        <f t="shared" ca="1" si="5"/>
        <v>5</v>
      </c>
      <c r="G62" s="3" t="str">
        <f t="shared" ca="1" si="6"/>
        <v>Diploma</v>
      </c>
      <c r="H62" s="3">
        <f t="shared" ca="1" si="7"/>
        <v>0</v>
      </c>
      <c r="I62" s="3">
        <f t="shared" ca="1" si="8"/>
        <v>0</v>
      </c>
      <c r="J62" s="3">
        <f t="shared" ca="1" si="9"/>
        <v>8</v>
      </c>
      <c r="K62" s="3" t="str">
        <f t="shared" ca="1" si="10"/>
        <v>Bihar</v>
      </c>
      <c r="L62" s="3">
        <f t="shared" ca="1" si="11"/>
        <v>67310</v>
      </c>
      <c r="M62" s="3">
        <f t="shared" ca="1" si="12"/>
        <v>538480</v>
      </c>
      <c r="N62" s="3">
        <f t="shared" ca="1" si="13"/>
        <v>109232.1691116251</v>
      </c>
      <c r="O62" s="3">
        <f t="shared" ca="1" si="14"/>
        <v>0</v>
      </c>
      <c r="P62" s="3">
        <f t="shared" ca="1" si="15"/>
        <v>0</v>
      </c>
      <c r="Q62" s="3">
        <f t="shared" ca="1" si="16"/>
        <v>32862.741887610457</v>
      </c>
      <c r="R62" s="3">
        <f t="shared" ca="1" si="17"/>
        <v>58131.9561505319</v>
      </c>
      <c r="S62" s="3">
        <f t="shared" ca="1" si="18"/>
        <v>596611.95615053189</v>
      </c>
      <c r="T62" s="3">
        <f t="shared" ca="1" si="19"/>
        <v>142094.91099923555</v>
      </c>
      <c r="U62" s="5">
        <f t="shared" ca="1" si="20"/>
        <v>454517.0451512963</v>
      </c>
    </row>
    <row r="63" spans="1:21" x14ac:dyDescent="0.35">
      <c r="A63">
        <f t="shared" ca="1" si="2"/>
        <v>2</v>
      </c>
      <c r="B63" s="4" t="str">
        <f t="shared" ca="1" si="0"/>
        <v>F</v>
      </c>
      <c r="C63" s="3">
        <f t="shared" ca="1" si="3"/>
        <v>2</v>
      </c>
      <c r="D63" s="3">
        <f t="shared" ca="1" si="1"/>
        <v>18</v>
      </c>
      <c r="E63" s="3" t="str">
        <f t="shared" ca="1" si="4"/>
        <v>Healthcare</v>
      </c>
      <c r="F63" s="3">
        <f t="shared" ca="1" si="5"/>
        <v>7</v>
      </c>
      <c r="G63" s="3" t="str">
        <f t="shared" ca="1" si="6"/>
        <v>Other</v>
      </c>
      <c r="H63" s="3">
        <f t="shared" ca="1" si="7"/>
        <v>4</v>
      </c>
      <c r="I63" s="3">
        <f t="shared" ca="1" si="8"/>
        <v>0</v>
      </c>
      <c r="J63" s="3">
        <f t="shared" ca="1" si="9"/>
        <v>18</v>
      </c>
      <c r="K63" s="3" t="str">
        <f t="shared" ca="1" si="10"/>
        <v>Meghalya</v>
      </c>
      <c r="L63" s="3">
        <f t="shared" ca="1" si="11"/>
        <v>36853</v>
      </c>
      <c r="M63" s="3">
        <f t="shared" ca="1" si="12"/>
        <v>184265</v>
      </c>
      <c r="N63" s="3">
        <f t="shared" ca="1" si="13"/>
        <v>52127.018449853844</v>
      </c>
      <c r="O63" s="3">
        <f t="shared" ca="1" si="14"/>
        <v>0</v>
      </c>
      <c r="P63" s="3">
        <f t="shared" ca="1" si="15"/>
        <v>0</v>
      </c>
      <c r="Q63" s="3">
        <f t="shared" ca="1" si="16"/>
        <v>29510.629417652926</v>
      </c>
      <c r="R63" s="3">
        <f t="shared" ca="1" si="17"/>
        <v>20255.399308485012</v>
      </c>
      <c r="S63" s="3">
        <f t="shared" ca="1" si="18"/>
        <v>204520.39930848501</v>
      </c>
      <c r="T63" s="3">
        <f t="shared" ca="1" si="19"/>
        <v>81637.647867506777</v>
      </c>
      <c r="U63" s="5">
        <f t="shared" ca="1" si="20"/>
        <v>122882.75144097823</v>
      </c>
    </row>
    <row r="64" spans="1:21" x14ac:dyDescent="0.35">
      <c r="A64">
        <f t="shared" ca="1" si="2"/>
        <v>2</v>
      </c>
      <c r="B64" s="4" t="str">
        <f t="shared" ca="1" si="0"/>
        <v>F</v>
      </c>
      <c r="C64" s="3">
        <f t="shared" ca="1" si="3"/>
        <v>7</v>
      </c>
      <c r="D64" s="3">
        <f t="shared" ca="1" si="1"/>
        <v>27</v>
      </c>
      <c r="E64" s="3" t="str">
        <f t="shared" ca="1" si="4"/>
        <v>Other</v>
      </c>
      <c r="F64" s="3">
        <f t="shared" ca="1" si="5"/>
        <v>6</v>
      </c>
      <c r="G64" s="3" t="str">
        <f t="shared" ca="1" si="6"/>
        <v>Doctorate</v>
      </c>
      <c r="H64" s="3">
        <f t="shared" ca="1" si="7"/>
        <v>1</v>
      </c>
      <c r="I64" s="3">
        <f t="shared" ca="1" si="8"/>
        <v>2</v>
      </c>
      <c r="J64" s="3">
        <f t="shared" ca="1" si="9"/>
        <v>21</v>
      </c>
      <c r="K64" s="3" t="str">
        <f t="shared" ca="1" si="10"/>
        <v>Odisha</v>
      </c>
      <c r="L64" s="3">
        <f t="shared" ca="1" si="11"/>
        <v>87012</v>
      </c>
      <c r="M64" s="3">
        <f t="shared" ca="1" si="12"/>
        <v>435060</v>
      </c>
      <c r="N64" s="3">
        <f t="shared" ca="1" si="13"/>
        <v>298108.3573280148</v>
      </c>
      <c r="O64" s="3">
        <f t="shared" ca="1" si="14"/>
        <v>119145.23873494141</v>
      </c>
      <c r="P64" s="3">
        <f t="shared" ca="1" si="15"/>
        <v>42497.453679017955</v>
      </c>
      <c r="Q64" s="3">
        <f t="shared" ca="1" si="16"/>
        <v>22502.095797453836</v>
      </c>
      <c r="R64" s="3">
        <f t="shared" ca="1" si="17"/>
        <v>69236.724966401758</v>
      </c>
      <c r="S64" s="3">
        <f t="shared" ca="1" si="18"/>
        <v>623441.96370134316</v>
      </c>
      <c r="T64" s="3">
        <f t="shared" ca="1" si="19"/>
        <v>363107.90680448659</v>
      </c>
      <c r="U64" s="5">
        <f t="shared" ca="1" si="20"/>
        <v>260334.05689685658</v>
      </c>
    </row>
    <row r="65" spans="1:21" x14ac:dyDescent="0.35">
      <c r="A65">
        <f t="shared" ca="1" si="2"/>
        <v>2</v>
      </c>
      <c r="B65" s="4" t="str">
        <f t="shared" ca="1" si="0"/>
        <v>F</v>
      </c>
      <c r="C65" s="3">
        <f t="shared" ca="1" si="3"/>
        <v>5</v>
      </c>
      <c r="D65" s="3">
        <f t="shared" ca="1" si="1"/>
        <v>35</v>
      </c>
      <c r="E65" s="3" t="str">
        <f t="shared" ca="1" si="4"/>
        <v>Research</v>
      </c>
      <c r="F65" s="3">
        <f t="shared" ca="1" si="5"/>
        <v>6</v>
      </c>
      <c r="G65" s="3" t="str">
        <f t="shared" ca="1" si="6"/>
        <v>Doctorate</v>
      </c>
      <c r="H65" s="3">
        <f t="shared" ca="1" si="7"/>
        <v>4</v>
      </c>
      <c r="I65" s="3">
        <f t="shared" ca="1" si="8"/>
        <v>2</v>
      </c>
      <c r="J65" s="3">
        <f t="shared" ca="1" si="9"/>
        <v>14</v>
      </c>
      <c r="K65" s="3" t="str">
        <f t="shared" ca="1" si="10"/>
        <v>Karnataka</v>
      </c>
      <c r="L65" s="3">
        <f t="shared" ca="1" si="11"/>
        <v>41233</v>
      </c>
      <c r="M65" s="3">
        <f t="shared" ca="1" si="12"/>
        <v>206165</v>
      </c>
      <c r="N65" s="3">
        <f t="shared" ca="1" si="13"/>
        <v>30330.561856071712</v>
      </c>
      <c r="O65" s="3">
        <f t="shared" ca="1" si="14"/>
        <v>75527.262642608126</v>
      </c>
      <c r="P65" s="3">
        <f t="shared" ca="1" si="15"/>
        <v>1258.543383410705</v>
      </c>
      <c r="Q65" s="3">
        <f t="shared" ca="1" si="16"/>
        <v>27477.58811901302</v>
      </c>
      <c r="R65" s="3">
        <f t="shared" ca="1" si="17"/>
        <v>33789.430355873061</v>
      </c>
      <c r="S65" s="3">
        <f t="shared" ca="1" si="18"/>
        <v>315481.69299848122</v>
      </c>
      <c r="T65" s="3">
        <f t="shared" ca="1" si="19"/>
        <v>59066.693358495439</v>
      </c>
      <c r="U65" s="5">
        <f t="shared" ca="1" si="20"/>
        <v>256414.99963998579</v>
      </c>
    </row>
    <row r="66" spans="1:21" x14ac:dyDescent="0.35">
      <c r="A66">
        <f t="shared" ca="1" si="2"/>
        <v>2</v>
      </c>
      <c r="B66" s="4" t="str">
        <f t="shared" ca="1" si="0"/>
        <v>F</v>
      </c>
      <c r="C66" s="3">
        <f t="shared" ca="1" si="3"/>
        <v>4</v>
      </c>
      <c r="D66" s="3">
        <f t="shared" ca="1" si="1"/>
        <v>18</v>
      </c>
      <c r="E66" s="3" t="str">
        <f t="shared" ca="1" si="4"/>
        <v>Accounting</v>
      </c>
      <c r="F66" s="3">
        <f t="shared" ca="1" si="5"/>
        <v>7</v>
      </c>
      <c r="G66" s="3" t="str">
        <f t="shared" ca="1" si="6"/>
        <v>Other</v>
      </c>
      <c r="H66" s="3">
        <f t="shared" ca="1" si="7"/>
        <v>2</v>
      </c>
      <c r="I66" s="3">
        <f t="shared" ca="1" si="8"/>
        <v>1</v>
      </c>
      <c r="J66" s="3">
        <f t="shared" ca="1" si="9"/>
        <v>18</v>
      </c>
      <c r="K66" s="3" t="str">
        <f t="shared" ca="1" si="10"/>
        <v>Meghalya</v>
      </c>
      <c r="L66" s="3">
        <f t="shared" ca="1" si="11"/>
        <v>64493</v>
      </c>
      <c r="M66" s="3">
        <f t="shared" ca="1" si="12"/>
        <v>580437</v>
      </c>
      <c r="N66" s="3">
        <f t="shared" ca="1" si="13"/>
        <v>461081.75207543711</v>
      </c>
      <c r="O66" s="3">
        <f t="shared" ca="1" si="14"/>
        <v>39940.324980354046</v>
      </c>
      <c r="P66" s="3">
        <f t="shared" ca="1" si="15"/>
        <v>20860.429603766806</v>
      </c>
      <c r="Q66" s="3">
        <f t="shared" ca="1" si="16"/>
        <v>19850.288748270406</v>
      </c>
      <c r="R66" s="3">
        <f t="shared" ca="1" si="17"/>
        <v>44337.449822238028</v>
      </c>
      <c r="S66" s="3">
        <f t="shared" ca="1" si="18"/>
        <v>664714.77480259212</v>
      </c>
      <c r="T66" s="3">
        <f t="shared" ca="1" si="19"/>
        <v>501792.47042747436</v>
      </c>
      <c r="U66" s="5">
        <f t="shared" ca="1" si="20"/>
        <v>162922.30437511776</v>
      </c>
    </row>
    <row r="67" spans="1:21" x14ac:dyDescent="0.35">
      <c r="A67">
        <f t="shared" ca="1" si="2"/>
        <v>1</v>
      </c>
      <c r="B67" s="4" t="str">
        <f t="shared" ca="1" si="0"/>
        <v>M</v>
      </c>
      <c r="C67" s="3">
        <f t="shared" ca="1" si="3"/>
        <v>1</v>
      </c>
      <c r="D67" s="3">
        <f t="shared" ca="1" si="1"/>
        <v>23</v>
      </c>
      <c r="E67" s="3" t="str">
        <f t="shared" ca="1" si="4"/>
        <v>Engineering</v>
      </c>
      <c r="F67" s="3">
        <f t="shared" ca="1" si="5"/>
        <v>3</v>
      </c>
      <c r="G67" s="3" t="str">
        <f t="shared" ca="1" si="6"/>
        <v>UG</v>
      </c>
      <c r="H67" s="3">
        <f t="shared" ca="1" si="7"/>
        <v>4</v>
      </c>
      <c r="I67" s="3">
        <f t="shared" ca="1" si="8"/>
        <v>2</v>
      </c>
      <c r="J67" s="3">
        <f t="shared" ca="1" si="9"/>
        <v>18</v>
      </c>
      <c r="K67" s="3" t="str">
        <f t="shared" ca="1" si="10"/>
        <v>Meghalya</v>
      </c>
      <c r="L67" s="3">
        <f t="shared" ca="1" si="11"/>
        <v>97872</v>
      </c>
      <c r="M67" s="3">
        <f t="shared" ca="1" si="12"/>
        <v>685104</v>
      </c>
      <c r="N67" s="3">
        <f t="shared" ca="1" si="13"/>
        <v>486441.62753356301</v>
      </c>
      <c r="O67" s="3">
        <f t="shared" ca="1" si="14"/>
        <v>69988.134891484151</v>
      </c>
      <c r="P67" s="3">
        <f t="shared" ca="1" si="15"/>
        <v>27904.902904902869</v>
      </c>
      <c r="Q67" s="3">
        <f t="shared" ca="1" si="16"/>
        <v>17779.490095006335</v>
      </c>
      <c r="R67" s="3">
        <f t="shared" ca="1" si="17"/>
        <v>16582.65070731868</v>
      </c>
      <c r="S67" s="3">
        <f t="shared" ca="1" si="18"/>
        <v>771674.78559880285</v>
      </c>
      <c r="T67" s="3">
        <f t="shared" ca="1" si="19"/>
        <v>532126.02053347218</v>
      </c>
      <c r="U67" s="5">
        <f t="shared" ca="1" si="20"/>
        <v>239548.76506533066</v>
      </c>
    </row>
    <row r="68" spans="1:21" x14ac:dyDescent="0.35">
      <c r="A68">
        <f t="shared" ca="1" si="2"/>
        <v>1</v>
      </c>
      <c r="B68" s="4" t="str">
        <f t="shared" ca="1" si="0"/>
        <v>M</v>
      </c>
      <c r="C68" s="3">
        <f t="shared" ca="1" si="3"/>
        <v>2</v>
      </c>
      <c r="D68" s="3">
        <f t="shared" ca="1" si="1"/>
        <v>43</v>
      </c>
      <c r="E68" s="3" t="str">
        <f t="shared" ca="1" si="4"/>
        <v>Healthcare</v>
      </c>
      <c r="F68" s="3">
        <f t="shared" ca="1" si="5"/>
        <v>6</v>
      </c>
      <c r="G68" s="3" t="str">
        <f t="shared" ca="1" si="6"/>
        <v>Doctorate</v>
      </c>
      <c r="H68" s="3">
        <f t="shared" ca="1" si="7"/>
        <v>1</v>
      </c>
      <c r="I68" s="3">
        <f t="shared" ca="1" si="8"/>
        <v>0</v>
      </c>
      <c r="J68" s="3">
        <f t="shared" ca="1" si="9"/>
        <v>14</v>
      </c>
      <c r="K68" s="3" t="str">
        <f t="shared" ca="1" si="10"/>
        <v>Karnataka</v>
      </c>
      <c r="L68" s="3">
        <f t="shared" ca="1" si="11"/>
        <v>64576</v>
      </c>
      <c r="M68" s="3">
        <f t="shared" ca="1" si="12"/>
        <v>516608</v>
      </c>
      <c r="N68" s="3">
        <f t="shared" ca="1" si="13"/>
        <v>383524.39625288395</v>
      </c>
      <c r="O68" s="3">
        <f t="shared" ca="1" si="14"/>
        <v>0</v>
      </c>
      <c r="P68" s="3">
        <f t="shared" ca="1" si="15"/>
        <v>0</v>
      </c>
      <c r="Q68" s="3">
        <f t="shared" ca="1" si="16"/>
        <v>17326.748421499175</v>
      </c>
      <c r="R68" s="3">
        <f t="shared" ca="1" si="17"/>
        <v>39179.085237429514</v>
      </c>
      <c r="S68" s="3">
        <f t="shared" ca="1" si="18"/>
        <v>555787.08523742948</v>
      </c>
      <c r="T68" s="3">
        <f t="shared" ca="1" si="19"/>
        <v>400851.1446743831</v>
      </c>
      <c r="U68" s="5">
        <f t="shared" ca="1" si="20"/>
        <v>154935.94056304637</v>
      </c>
    </row>
    <row r="69" spans="1:21" x14ac:dyDescent="0.35">
      <c r="A69">
        <f t="shared" ca="1" si="2"/>
        <v>2</v>
      </c>
      <c r="B69" s="4" t="str">
        <f t="shared" ca="1" si="0"/>
        <v>F</v>
      </c>
      <c r="C69" s="3">
        <f t="shared" ca="1" si="3"/>
        <v>6</v>
      </c>
      <c r="D69" s="3">
        <f t="shared" ca="1" si="1"/>
        <v>45</v>
      </c>
      <c r="E69" s="3" t="str">
        <f t="shared" ca="1" si="4"/>
        <v>Art</v>
      </c>
      <c r="F69" s="3">
        <f t="shared" ca="1" si="5"/>
        <v>2</v>
      </c>
      <c r="G69" s="3" t="str">
        <f t="shared" ca="1" si="6"/>
        <v>Senior Secondary</v>
      </c>
      <c r="H69" s="3">
        <f t="shared" ca="1" si="7"/>
        <v>4</v>
      </c>
      <c r="I69" s="3">
        <f t="shared" ca="1" si="8"/>
        <v>1</v>
      </c>
      <c r="J69" s="3">
        <f t="shared" ca="1" si="9"/>
        <v>9</v>
      </c>
      <c r="K69" s="3" t="str">
        <f t="shared" ca="1" si="10"/>
        <v>Chhattisgarh</v>
      </c>
      <c r="L69" s="3">
        <f t="shared" ca="1" si="11"/>
        <v>87108</v>
      </c>
      <c r="M69" s="3">
        <f t="shared" ca="1" si="12"/>
        <v>783972</v>
      </c>
      <c r="N69" s="3">
        <f t="shared" ca="1" si="13"/>
        <v>45150.306933157903</v>
      </c>
      <c r="O69" s="3">
        <f t="shared" ca="1" si="14"/>
        <v>675.21821632372814</v>
      </c>
      <c r="P69" s="3">
        <f t="shared" ca="1" si="15"/>
        <v>528.71256387958874</v>
      </c>
      <c r="Q69" s="3">
        <f t="shared" ca="1" si="16"/>
        <v>17693.162414783121</v>
      </c>
      <c r="R69" s="3">
        <f t="shared" ca="1" si="17"/>
        <v>56353.57180047196</v>
      </c>
      <c r="S69" s="3">
        <f t="shared" ca="1" si="18"/>
        <v>841000.79001679574</v>
      </c>
      <c r="T69" s="3">
        <f t="shared" ca="1" si="19"/>
        <v>63372.181911820619</v>
      </c>
      <c r="U69" s="5">
        <f t="shared" ca="1" si="20"/>
        <v>777628.60810497508</v>
      </c>
    </row>
    <row r="70" spans="1:21" x14ac:dyDescent="0.35">
      <c r="A70">
        <f t="shared" ca="1" si="2"/>
        <v>2</v>
      </c>
      <c r="B70" s="4" t="str">
        <f t="shared" ca="1" si="0"/>
        <v>F</v>
      </c>
      <c r="C70" s="3">
        <f t="shared" ca="1" si="3"/>
        <v>1</v>
      </c>
      <c r="D70" s="3">
        <f t="shared" ca="1" si="1"/>
        <v>33</v>
      </c>
      <c r="E70" s="3" t="str">
        <f t="shared" ca="1" si="4"/>
        <v>Engineering</v>
      </c>
      <c r="F70" s="3">
        <f t="shared" ca="1" si="5"/>
        <v>7</v>
      </c>
      <c r="G70" s="3" t="str">
        <f t="shared" ca="1" si="6"/>
        <v>Other</v>
      </c>
      <c r="H70" s="3">
        <f t="shared" ca="1" si="7"/>
        <v>4</v>
      </c>
      <c r="I70" s="3">
        <f t="shared" ca="1" si="8"/>
        <v>0</v>
      </c>
      <c r="J70" s="3">
        <f t="shared" ca="1" si="9"/>
        <v>16</v>
      </c>
      <c r="K70" s="3" t="str">
        <f t="shared" ca="1" si="10"/>
        <v>Madhya Pradesh</v>
      </c>
      <c r="L70" s="3">
        <f t="shared" ca="1" si="11"/>
        <v>84332</v>
      </c>
      <c r="M70" s="3">
        <f t="shared" ca="1" si="12"/>
        <v>421660</v>
      </c>
      <c r="N70" s="3">
        <f t="shared" ca="1" si="13"/>
        <v>99295.045934582377</v>
      </c>
      <c r="O70" s="3">
        <f t="shared" ca="1" si="14"/>
        <v>0</v>
      </c>
      <c r="P70" s="3">
        <f t="shared" ca="1" si="15"/>
        <v>0</v>
      </c>
      <c r="Q70" s="3">
        <f t="shared" ca="1" si="16"/>
        <v>30649.41363798999</v>
      </c>
      <c r="R70" s="3">
        <f t="shared" ca="1" si="17"/>
        <v>53040.182633604949</v>
      </c>
      <c r="S70" s="3">
        <f t="shared" ca="1" si="18"/>
        <v>474700.18263360497</v>
      </c>
      <c r="T70" s="3">
        <f t="shared" ca="1" si="19"/>
        <v>129944.45957257236</v>
      </c>
      <c r="U70" s="5">
        <f t="shared" ca="1" si="20"/>
        <v>344755.72306103259</v>
      </c>
    </row>
    <row r="71" spans="1:21" x14ac:dyDescent="0.35">
      <c r="A71">
        <f t="shared" ca="1" si="2"/>
        <v>1</v>
      </c>
      <c r="B71" s="4" t="str">
        <f t="shared" ref="B71:B134" ca="1" si="21">IF(A71=1,"M","F")</f>
        <v>M</v>
      </c>
      <c r="C71" s="3">
        <f t="shared" ca="1" si="3"/>
        <v>1</v>
      </c>
      <c r="D71" s="3">
        <f t="shared" ref="D71:D134" ca="1" si="22">RANDBETWEEN(18,45)</f>
        <v>37</v>
      </c>
      <c r="E71" s="3" t="str">
        <f t="shared" ca="1" si="4"/>
        <v>Engineering</v>
      </c>
      <c r="F71" s="3">
        <f t="shared" ca="1" si="5"/>
        <v>3</v>
      </c>
      <c r="G71" s="3" t="str">
        <f t="shared" ca="1" si="6"/>
        <v>UG</v>
      </c>
      <c r="H71" s="3">
        <f t="shared" ca="1" si="7"/>
        <v>0</v>
      </c>
      <c r="I71" s="3">
        <f t="shared" ca="1" si="8"/>
        <v>3</v>
      </c>
      <c r="J71" s="3">
        <f t="shared" ca="1" si="9"/>
        <v>12</v>
      </c>
      <c r="K71" s="3" t="str">
        <f t="shared" ca="1" si="10"/>
        <v>Himachal Pradesh</v>
      </c>
      <c r="L71" s="3">
        <f t="shared" ca="1" si="11"/>
        <v>70582</v>
      </c>
      <c r="M71" s="3">
        <f t="shared" ca="1" si="12"/>
        <v>423492</v>
      </c>
      <c r="N71" s="3">
        <f t="shared" ca="1" si="13"/>
        <v>335267.56351818045</v>
      </c>
      <c r="O71" s="3">
        <f t="shared" ca="1" si="14"/>
        <v>136916.75178901519</v>
      </c>
      <c r="P71" s="3">
        <f t="shared" ca="1" si="15"/>
        <v>134976.15780799396</v>
      </c>
      <c r="Q71" s="3">
        <f t="shared" ca="1" si="16"/>
        <v>19059.760660732667</v>
      </c>
      <c r="R71" s="3">
        <f t="shared" ca="1" si="17"/>
        <v>39300.516709676042</v>
      </c>
      <c r="S71" s="3">
        <f t="shared" ca="1" si="18"/>
        <v>599709.26849869126</v>
      </c>
      <c r="T71" s="3">
        <f t="shared" ca="1" si="19"/>
        <v>489303.48198690714</v>
      </c>
      <c r="U71" s="5">
        <f t="shared" ca="1" si="20"/>
        <v>110405.78651178413</v>
      </c>
    </row>
    <row r="72" spans="1:21" x14ac:dyDescent="0.35">
      <c r="A72">
        <f t="shared" ref="A72:A135" ca="1" si="23">RANDBETWEEN(1,2)</f>
        <v>1</v>
      </c>
      <c r="B72" s="4" t="str">
        <f t="shared" ca="1" si="21"/>
        <v>M</v>
      </c>
      <c r="C72" s="3">
        <f t="shared" ref="C72:C135" ca="1" si="24">RANDBETWEEN(1,7)</f>
        <v>5</v>
      </c>
      <c r="D72" s="3">
        <f t="shared" ca="1" si="22"/>
        <v>23</v>
      </c>
      <c r="E72" s="3" t="str">
        <f t="shared" ref="E72:E135" ca="1" si="25">VLOOKUP(C72,$Y$7:$Z$13,2)</f>
        <v>Research</v>
      </c>
      <c r="F72" s="3">
        <f t="shared" ref="F72:F135" ca="1" si="26">RANDBETWEEN(1,7)</f>
        <v>4</v>
      </c>
      <c r="G72" s="3" t="str">
        <f t="shared" ref="G72:G135" ca="1" si="27">VLOOKUP(F72,$AB$7:$AC$13,2)</f>
        <v>PG</v>
      </c>
      <c r="H72" s="3">
        <f t="shared" ref="H72:H135" ca="1" si="28">RANDBETWEEN(0,4)</f>
        <v>2</v>
      </c>
      <c r="I72" s="3">
        <f t="shared" ref="I72:I135" ca="1" si="29">RANDBETWEEN(0,3)</f>
        <v>0</v>
      </c>
      <c r="J72" s="3">
        <f t="shared" ref="J72:J135" ca="1" si="30">RANDBETWEEN(1,28)</f>
        <v>27</v>
      </c>
      <c r="K72" s="3" t="str">
        <f t="shared" ref="K72:K135" ca="1" si="31">VLOOKUP(J72,$AE$7:$AF$34,2)</f>
        <v>Uttrakhand</v>
      </c>
      <c r="L72" s="3">
        <f t="shared" ref="L72:L135" ca="1" si="32">RANDBETWEEN(25000,99000)</f>
        <v>26437</v>
      </c>
      <c r="M72" s="3">
        <f t="shared" ref="M72:M135" ca="1" si="33">L72*RANDBETWEEN(5,9)</f>
        <v>237933</v>
      </c>
      <c r="N72" s="3">
        <f t="shared" ref="N72:N135" ca="1" si="34">RAND()*M72</f>
        <v>76972.942477233359</v>
      </c>
      <c r="O72" s="3">
        <f t="shared" ref="O72:O135" ca="1" si="35">RAND()*I72*L72</f>
        <v>0</v>
      </c>
      <c r="P72" s="3">
        <f t="shared" ref="P72:P135" ca="1" si="36">O72*RAND()</f>
        <v>0</v>
      </c>
      <c r="Q72" s="3">
        <f t="shared" ref="Q72:Q135" ca="1" si="37">RAND()*L72</f>
        <v>14903.126173569093</v>
      </c>
      <c r="R72" s="3">
        <f t="shared" ref="R72:R135" ca="1" si="38">RAND()*L72</f>
        <v>24108.083713050863</v>
      </c>
      <c r="S72" s="3">
        <f t="shared" ref="S72:S135" ca="1" si="39">M72+O72+R72</f>
        <v>262041.08371305087</v>
      </c>
      <c r="T72" s="3">
        <f t="shared" ref="T72:T135" ca="1" si="40">N72+P72+Q72</f>
        <v>91876.068650802452</v>
      </c>
      <c r="U72" s="5">
        <f t="shared" ref="U72:U135" ca="1" si="41">S72-T72</f>
        <v>170165.01506224842</v>
      </c>
    </row>
    <row r="73" spans="1:21" x14ac:dyDescent="0.35">
      <c r="A73">
        <f t="shared" ca="1" si="23"/>
        <v>2</v>
      </c>
      <c r="B73" s="4" t="str">
        <f t="shared" ca="1" si="21"/>
        <v>F</v>
      </c>
      <c r="C73" s="3">
        <f t="shared" ca="1" si="24"/>
        <v>1</v>
      </c>
      <c r="D73" s="3">
        <f t="shared" ca="1" si="22"/>
        <v>32</v>
      </c>
      <c r="E73" s="3" t="str">
        <f t="shared" ca="1" si="25"/>
        <v>Engineering</v>
      </c>
      <c r="F73" s="3">
        <f t="shared" ca="1" si="26"/>
        <v>5</v>
      </c>
      <c r="G73" s="3" t="str">
        <f t="shared" ca="1" si="27"/>
        <v>Diploma</v>
      </c>
      <c r="H73" s="3">
        <f t="shared" ca="1" si="28"/>
        <v>1</v>
      </c>
      <c r="I73" s="3">
        <f t="shared" ca="1" si="29"/>
        <v>1</v>
      </c>
      <c r="J73" s="3">
        <f t="shared" ca="1" si="30"/>
        <v>16</v>
      </c>
      <c r="K73" s="3" t="str">
        <f t="shared" ca="1" si="31"/>
        <v>Madhya Pradesh</v>
      </c>
      <c r="L73" s="3">
        <f t="shared" ca="1" si="32"/>
        <v>46893</v>
      </c>
      <c r="M73" s="3">
        <f t="shared" ca="1" si="33"/>
        <v>234465</v>
      </c>
      <c r="N73" s="3">
        <f t="shared" ca="1" si="34"/>
        <v>115599.8749541522</v>
      </c>
      <c r="O73" s="3">
        <f t="shared" ca="1" si="35"/>
        <v>17300.78144460461</v>
      </c>
      <c r="P73" s="3">
        <f t="shared" ca="1" si="36"/>
        <v>8890.6256032592373</v>
      </c>
      <c r="Q73" s="3">
        <f t="shared" ca="1" si="37"/>
        <v>6101.7466044412622</v>
      </c>
      <c r="R73" s="3">
        <f t="shared" ca="1" si="38"/>
        <v>4684.5500547083875</v>
      </c>
      <c r="S73" s="3">
        <f t="shared" ca="1" si="39"/>
        <v>256450.331499313</v>
      </c>
      <c r="T73" s="3">
        <f t="shared" ca="1" si="40"/>
        <v>130592.24716185269</v>
      </c>
      <c r="U73" s="5">
        <f t="shared" ca="1" si="41"/>
        <v>125858.08433746031</v>
      </c>
    </row>
    <row r="74" spans="1:21" x14ac:dyDescent="0.35">
      <c r="A74">
        <f t="shared" ca="1" si="23"/>
        <v>1</v>
      </c>
      <c r="B74" s="4" t="str">
        <f t="shared" ca="1" si="21"/>
        <v>M</v>
      </c>
      <c r="C74" s="3">
        <f t="shared" ca="1" si="24"/>
        <v>1</v>
      </c>
      <c r="D74" s="3">
        <f t="shared" ca="1" si="22"/>
        <v>20</v>
      </c>
      <c r="E74" s="3" t="str">
        <f t="shared" ca="1" si="25"/>
        <v>Engineering</v>
      </c>
      <c r="F74" s="3">
        <f t="shared" ca="1" si="26"/>
        <v>3</v>
      </c>
      <c r="G74" s="3" t="str">
        <f t="shared" ca="1" si="27"/>
        <v>UG</v>
      </c>
      <c r="H74" s="3">
        <f t="shared" ca="1" si="28"/>
        <v>3</v>
      </c>
      <c r="I74" s="3">
        <f t="shared" ca="1" si="29"/>
        <v>1</v>
      </c>
      <c r="J74" s="3">
        <f t="shared" ca="1" si="30"/>
        <v>7</v>
      </c>
      <c r="K74" s="3" t="str">
        <f t="shared" ca="1" si="31"/>
        <v>Assam</v>
      </c>
      <c r="L74" s="3">
        <f t="shared" ca="1" si="32"/>
        <v>90783</v>
      </c>
      <c r="M74" s="3">
        <f t="shared" ca="1" si="33"/>
        <v>544698</v>
      </c>
      <c r="N74" s="3">
        <f t="shared" ca="1" si="34"/>
        <v>358358.89041689859</v>
      </c>
      <c r="O74" s="3">
        <f t="shared" ca="1" si="35"/>
        <v>9371.2927113193546</v>
      </c>
      <c r="P74" s="3">
        <f t="shared" ca="1" si="36"/>
        <v>401.83338530790502</v>
      </c>
      <c r="Q74" s="3">
        <f t="shared" ca="1" si="37"/>
        <v>62461.417766172141</v>
      </c>
      <c r="R74" s="3">
        <f t="shared" ca="1" si="38"/>
        <v>64629.158584752549</v>
      </c>
      <c r="S74" s="3">
        <f t="shared" ca="1" si="39"/>
        <v>618698.45129607199</v>
      </c>
      <c r="T74" s="3">
        <f t="shared" ca="1" si="40"/>
        <v>421222.14156837866</v>
      </c>
      <c r="U74" s="5">
        <f t="shared" ca="1" si="41"/>
        <v>197476.30972769333</v>
      </c>
    </row>
    <row r="75" spans="1:21" x14ac:dyDescent="0.35">
      <c r="A75">
        <f t="shared" ca="1" si="23"/>
        <v>2</v>
      </c>
      <c r="B75" s="4" t="str">
        <f t="shared" ca="1" si="21"/>
        <v>F</v>
      </c>
      <c r="C75" s="3">
        <f t="shared" ca="1" si="24"/>
        <v>3</v>
      </c>
      <c r="D75" s="3">
        <f t="shared" ca="1" si="22"/>
        <v>20</v>
      </c>
      <c r="E75" s="3" t="str">
        <f t="shared" ca="1" si="25"/>
        <v>IT</v>
      </c>
      <c r="F75" s="3">
        <f t="shared" ca="1" si="26"/>
        <v>2</v>
      </c>
      <c r="G75" s="3" t="str">
        <f t="shared" ca="1" si="27"/>
        <v>Senior Secondary</v>
      </c>
      <c r="H75" s="3">
        <f t="shared" ca="1" si="28"/>
        <v>0</v>
      </c>
      <c r="I75" s="3">
        <f t="shared" ca="1" si="29"/>
        <v>3</v>
      </c>
      <c r="J75" s="3">
        <f t="shared" ca="1" si="30"/>
        <v>26</v>
      </c>
      <c r="K75" s="3" t="str">
        <f t="shared" ca="1" si="31"/>
        <v>Tripura</v>
      </c>
      <c r="L75" s="3">
        <f t="shared" ca="1" si="32"/>
        <v>91444</v>
      </c>
      <c r="M75" s="3">
        <f t="shared" ca="1" si="33"/>
        <v>548664</v>
      </c>
      <c r="N75" s="3">
        <f t="shared" ca="1" si="34"/>
        <v>5535.9754827795805</v>
      </c>
      <c r="O75" s="3">
        <f t="shared" ca="1" si="35"/>
        <v>180244.64560177733</v>
      </c>
      <c r="P75" s="3">
        <f t="shared" ca="1" si="36"/>
        <v>33460.848275960605</v>
      </c>
      <c r="Q75" s="3">
        <f t="shared" ca="1" si="37"/>
        <v>21011.740628445714</v>
      </c>
      <c r="R75" s="3">
        <f t="shared" ca="1" si="38"/>
        <v>17085.94572068717</v>
      </c>
      <c r="S75" s="3">
        <f t="shared" ca="1" si="39"/>
        <v>745994.59132246452</v>
      </c>
      <c r="T75" s="3">
        <f t="shared" ca="1" si="40"/>
        <v>60008.564387185892</v>
      </c>
      <c r="U75" s="5">
        <f t="shared" ca="1" si="41"/>
        <v>685986.02693527867</v>
      </c>
    </row>
    <row r="76" spans="1:21" x14ac:dyDescent="0.35">
      <c r="A76">
        <f t="shared" ca="1" si="23"/>
        <v>2</v>
      </c>
      <c r="B76" s="4" t="str">
        <f t="shared" ca="1" si="21"/>
        <v>F</v>
      </c>
      <c r="C76" s="3">
        <f t="shared" ca="1" si="24"/>
        <v>4</v>
      </c>
      <c r="D76" s="3">
        <f t="shared" ca="1" si="22"/>
        <v>37</v>
      </c>
      <c r="E76" s="3" t="str">
        <f t="shared" ca="1" si="25"/>
        <v>Accounting</v>
      </c>
      <c r="F76" s="3">
        <f t="shared" ca="1" si="26"/>
        <v>1</v>
      </c>
      <c r="G76" s="3" t="str">
        <f t="shared" ca="1" si="27"/>
        <v>Secondary</v>
      </c>
      <c r="H76" s="3">
        <f t="shared" ca="1" si="28"/>
        <v>4</v>
      </c>
      <c r="I76" s="3">
        <f t="shared" ca="1" si="29"/>
        <v>2</v>
      </c>
      <c r="J76" s="3">
        <f t="shared" ca="1" si="30"/>
        <v>12</v>
      </c>
      <c r="K76" s="3" t="str">
        <f t="shared" ca="1" si="31"/>
        <v>Himachal Pradesh</v>
      </c>
      <c r="L76" s="3">
        <f t="shared" ca="1" si="32"/>
        <v>80509</v>
      </c>
      <c r="M76" s="3">
        <f t="shared" ca="1" si="33"/>
        <v>483054</v>
      </c>
      <c r="N76" s="3">
        <f t="shared" ca="1" si="34"/>
        <v>444029.37820815621</v>
      </c>
      <c r="O76" s="3">
        <f t="shared" ca="1" si="35"/>
        <v>103025.83414633134</v>
      </c>
      <c r="P76" s="3">
        <f t="shared" ca="1" si="36"/>
        <v>28889.981997959843</v>
      </c>
      <c r="Q76" s="3">
        <f t="shared" ca="1" si="37"/>
        <v>28391.773606009865</v>
      </c>
      <c r="R76" s="3">
        <f t="shared" ca="1" si="38"/>
        <v>42051.196595465597</v>
      </c>
      <c r="S76" s="3">
        <f t="shared" ca="1" si="39"/>
        <v>628131.03074179695</v>
      </c>
      <c r="T76" s="3">
        <f t="shared" ca="1" si="40"/>
        <v>501311.13381212589</v>
      </c>
      <c r="U76" s="5">
        <f t="shared" ca="1" si="41"/>
        <v>126819.89692967106</v>
      </c>
    </row>
    <row r="77" spans="1:21" x14ac:dyDescent="0.35">
      <c r="A77">
        <f t="shared" ca="1" si="23"/>
        <v>1</v>
      </c>
      <c r="B77" s="4" t="str">
        <f t="shared" ca="1" si="21"/>
        <v>M</v>
      </c>
      <c r="C77" s="3">
        <f t="shared" ca="1" si="24"/>
        <v>5</v>
      </c>
      <c r="D77" s="3">
        <f t="shared" ca="1" si="22"/>
        <v>36</v>
      </c>
      <c r="E77" s="3" t="str">
        <f t="shared" ca="1" si="25"/>
        <v>Research</v>
      </c>
      <c r="F77" s="3">
        <f t="shared" ca="1" si="26"/>
        <v>3</v>
      </c>
      <c r="G77" s="3" t="str">
        <f t="shared" ca="1" si="27"/>
        <v>UG</v>
      </c>
      <c r="H77" s="3">
        <f t="shared" ca="1" si="28"/>
        <v>2</v>
      </c>
      <c r="I77" s="3">
        <f t="shared" ca="1" si="29"/>
        <v>2</v>
      </c>
      <c r="J77" s="3">
        <f t="shared" ca="1" si="30"/>
        <v>20</v>
      </c>
      <c r="K77" s="3" t="str">
        <f t="shared" ca="1" si="31"/>
        <v>Nagaland</v>
      </c>
      <c r="L77" s="3">
        <f t="shared" ca="1" si="32"/>
        <v>41450</v>
      </c>
      <c r="M77" s="3">
        <f t="shared" ca="1" si="33"/>
        <v>373050</v>
      </c>
      <c r="N77" s="3">
        <f t="shared" ca="1" si="34"/>
        <v>275785.03181839106</v>
      </c>
      <c r="O77" s="3">
        <f t="shared" ca="1" si="35"/>
        <v>75094.539167893017</v>
      </c>
      <c r="P77" s="3">
        <f t="shared" ca="1" si="36"/>
        <v>50886.203234584013</v>
      </c>
      <c r="Q77" s="3">
        <f t="shared" ca="1" si="37"/>
        <v>10828.12450693171</v>
      </c>
      <c r="R77" s="3">
        <f t="shared" ca="1" si="38"/>
        <v>30649.719687718007</v>
      </c>
      <c r="S77" s="3">
        <f t="shared" ca="1" si="39"/>
        <v>478794.25885561103</v>
      </c>
      <c r="T77" s="3">
        <f t="shared" ca="1" si="40"/>
        <v>337499.35955990676</v>
      </c>
      <c r="U77" s="5">
        <f t="shared" ca="1" si="41"/>
        <v>141294.89929570426</v>
      </c>
    </row>
    <row r="78" spans="1:21" x14ac:dyDescent="0.35">
      <c r="A78">
        <f t="shared" ca="1" si="23"/>
        <v>1</v>
      </c>
      <c r="B78" s="4" t="str">
        <f t="shared" ca="1" si="21"/>
        <v>M</v>
      </c>
      <c r="C78" s="3">
        <f t="shared" ca="1" si="24"/>
        <v>4</v>
      </c>
      <c r="D78" s="3">
        <f t="shared" ca="1" si="22"/>
        <v>45</v>
      </c>
      <c r="E78" s="3" t="str">
        <f t="shared" ca="1" si="25"/>
        <v>Accounting</v>
      </c>
      <c r="F78" s="3">
        <f t="shared" ca="1" si="26"/>
        <v>7</v>
      </c>
      <c r="G78" s="3" t="str">
        <f t="shared" ca="1" si="27"/>
        <v>Other</v>
      </c>
      <c r="H78" s="3">
        <f t="shared" ca="1" si="28"/>
        <v>1</v>
      </c>
      <c r="I78" s="3">
        <f t="shared" ca="1" si="29"/>
        <v>3</v>
      </c>
      <c r="J78" s="3">
        <f t="shared" ca="1" si="30"/>
        <v>8</v>
      </c>
      <c r="K78" s="3" t="str">
        <f t="shared" ca="1" si="31"/>
        <v>Bihar</v>
      </c>
      <c r="L78" s="3">
        <f t="shared" ca="1" si="32"/>
        <v>28167</v>
      </c>
      <c r="M78" s="3">
        <f t="shared" ca="1" si="33"/>
        <v>197169</v>
      </c>
      <c r="N78" s="3">
        <f t="shared" ca="1" si="34"/>
        <v>38527.347849804981</v>
      </c>
      <c r="O78" s="3">
        <f t="shared" ca="1" si="35"/>
        <v>10781.045556209876</v>
      </c>
      <c r="P78" s="3">
        <f t="shared" ca="1" si="36"/>
        <v>3412.7057689390813</v>
      </c>
      <c r="Q78" s="3">
        <f t="shared" ca="1" si="37"/>
        <v>17465.037022920333</v>
      </c>
      <c r="R78" s="3">
        <f t="shared" ca="1" si="38"/>
        <v>14005.442845165491</v>
      </c>
      <c r="S78" s="3">
        <f t="shared" ca="1" si="39"/>
        <v>221955.48840137536</v>
      </c>
      <c r="T78" s="3">
        <f t="shared" ca="1" si="40"/>
        <v>59405.090641664392</v>
      </c>
      <c r="U78" s="5">
        <f t="shared" ca="1" si="41"/>
        <v>162550.39775971096</v>
      </c>
    </row>
    <row r="79" spans="1:21" x14ac:dyDescent="0.35">
      <c r="A79">
        <f t="shared" ca="1" si="23"/>
        <v>1</v>
      </c>
      <c r="B79" s="4" t="str">
        <f t="shared" ca="1" si="21"/>
        <v>M</v>
      </c>
      <c r="C79" s="3">
        <f t="shared" ca="1" si="24"/>
        <v>1</v>
      </c>
      <c r="D79" s="3">
        <f t="shared" ca="1" si="22"/>
        <v>30</v>
      </c>
      <c r="E79" s="3" t="str">
        <f t="shared" ca="1" si="25"/>
        <v>Engineering</v>
      </c>
      <c r="F79" s="3">
        <f t="shared" ca="1" si="26"/>
        <v>4</v>
      </c>
      <c r="G79" s="3" t="str">
        <f t="shared" ca="1" si="27"/>
        <v>PG</v>
      </c>
      <c r="H79" s="3">
        <f t="shared" ca="1" si="28"/>
        <v>1</v>
      </c>
      <c r="I79" s="3">
        <f t="shared" ca="1" si="29"/>
        <v>3</v>
      </c>
      <c r="J79" s="3">
        <f t="shared" ca="1" si="30"/>
        <v>21</v>
      </c>
      <c r="K79" s="3" t="str">
        <f t="shared" ca="1" si="31"/>
        <v>Odisha</v>
      </c>
      <c r="L79" s="3">
        <f t="shared" ca="1" si="32"/>
        <v>90560</v>
      </c>
      <c r="M79" s="3">
        <f t="shared" ca="1" si="33"/>
        <v>724480</v>
      </c>
      <c r="N79" s="3">
        <f t="shared" ca="1" si="34"/>
        <v>201950.36226553176</v>
      </c>
      <c r="O79" s="3">
        <f t="shared" ca="1" si="35"/>
        <v>254208.09339687545</v>
      </c>
      <c r="P79" s="3">
        <f t="shared" ca="1" si="36"/>
        <v>18388.388187700304</v>
      </c>
      <c r="Q79" s="3">
        <f t="shared" ca="1" si="37"/>
        <v>47726.618782648751</v>
      </c>
      <c r="R79" s="3">
        <f t="shared" ca="1" si="38"/>
        <v>46316.152089360286</v>
      </c>
      <c r="S79" s="3">
        <f t="shared" ca="1" si="39"/>
        <v>1025004.2454862357</v>
      </c>
      <c r="T79" s="3">
        <f t="shared" ca="1" si="40"/>
        <v>268065.36923588079</v>
      </c>
      <c r="U79" s="5">
        <f t="shared" ca="1" si="41"/>
        <v>756938.87625035492</v>
      </c>
    </row>
    <row r="80" spans="1:21" x14ac:dyDescent="0.35">
      <c r="A80">
        <f t="shared" ca="1" si="23"/>
        <v>2</v>
      </c>
      <c r="B80" s="4" t="str">
        <f t="shared" ca="1" si="21"/>
        <v>F</v>
      </c>
      <c r="C80" s="3">
        <f t="shared" ca="1" si="24"/>
        <v>3</v>
      </c>
      <c r="D80" s="3">
        <f t="shared" ca="1" si="22"/>
        <v>44</v>
      </c>
      <c r="E80" s="3" t="str">
        <f t="shared" ca="1" si="25"/>
        <v>IT</v>
      </c>
      <c r="F80" s="3">
        <f t="shared" ca="1" si="26"/>
        <v>7</v>
      </c>
      <c r="G80" s="3" t="str">
        <f t="shared" ca="1" si="27"/>
        <v>Other</v>
      </c>
      <c r="H80" s="3">
        <f t="shared" ca="1" si="28"/>
        <v>2</v>
      </c>
      <c r="I80" s="3">
        <f t="shared" ca="1" si="29"/>
        <v>3</v>
      </c>
      <c r="J80" s="3">
        <f t="shared" ca="1" si="30"/>
        <v>25</v>
      </c>
      <c r="K80" s="3" t="str">
        <f t="shared" ca="1" si="31"/>
        <v>Telangana</v>
      </c>
      <c r="L80" s="3">
        <f t="shared" ca="1" si="32"/>
        <v>25078</v>
      </c>
      <c r="M80" s="3">
        <f t="shared" ca="1" si="33"/>
        <v>200624</v>
      </c>
      <c r="N80" s="3">
        <f t="shared" ca="1" si="34"/>
        <v>148301.41707660267</v>
      </c>
      <c r="O80" s="3">
        <f t="shared" ca="1" si="35"/>
        <v>35270.913188735212</v>
      </c>
      <c r="P80" s="3">
        <f t="shared" ca="1" si="36"/>
        <v>6756.4889008292548</v>
      </c>
      <c r="Q80" s="3">
        <f t="shared" ca="1" si="37"/>
        <v>19676.176981983244</v>
      </c>
      <c r="R80" s="3">
        <f t="shared" ca="1" si="38"/>
        <v>21107.657736916281</v>
      </c>
      <c r="S80" s="3">
        <f t="shared" ca="1" si="39"/>
        <v>257002.57092565147</v>
      </c>
      <c r="T80" s="3">
        <f t="shared" ca="1" si="40"/>
        <v>174734.08295941516</v>
      </c>
      <c r="U80" s="5">
        <f t="shared" ca="1" si="41"/>
        <v>82268.487966236309</v>
      </c>
    </row>
    <row r="81" spans="1:21" x14ac:dyDescent="0.35">
      <c r="A81">
        <f t="shared" ca="1" si="23"/>
        <v>2</v>
      </c>
      <c r="B81" s="4" t="str">
        <f t="shared" ca="1" si="21"/>
        <v>F</v>
      </c>
      <c r="C81" s="3">
        <f t="shared" ca="1" si="24"/>
        <v>7</v>
      </c>
      <c r="D81" s="3">
        <f t="shared" ca="1" si="22"/>
        <v>18</v>
      </c>
      <c r="E81" s="3" t="str">
        <f t="shared" ca="1" si="25"/>
        <v>Other</v>
      </c>
      <c r="F81" s="3">
        <f t="shared" ca="1" si="26"/>
        <v>6</v>
      </c>
      <c r="G81" s="3" t="str">
        <f t="shared" ca="1" si="27"/>
        <v>Doctorate</v>
      </c>
      <c r="H81" s="3">
        <f t="shared" ca="1" si="28"/>
        <v>3</v>
      </c>
      <c r="I81" s="3">
        <f t="shared" ca="1" si="29"/>
        <v>3</v>
      </c>
      <c r="J81" s="3">
        <f t="shared" ca="1" si="30"/>
        <v>27</v>
      </c>
      <c r="K81" s="3" t="str">
        <f t="shared" ca="1" si="31"/>
        <v>Uttrakhand</v>
      </c>
      <c r="L81" s="3">
        <f t="shared" ca="1" si="32"/>
        <v>58388</v>
      </c>
      <c r="M81" s="3">
        <f t="shared" ca="1" si="33"/>
        <v>408716</v>
      </c>
      <c r="N81" s="3">
        <f t="shared" ca="1" si="34"/>
        <v>349072.30952075718</v>
      </c>
      <c r="O81" s="3">
        <f t="shared" ca="1" si="35"/>
        <v>60921.568244652699</v>
      </c>
      <c r="P81" s="3">
        <f t="shared" ca="1" si="36"/>
        <v>60647.237604972288</v>
      </c>
      <c r="Q81" s="3">
        <f t="shared" ca="1" si="37"/>
        <v>25758.542609037748</v>
      </c>
      <c r="R81" s="3">
        <f t="shared" ca="1" si="38"/>
        <v>49566.950355200104</v>
      </c>
      <c r="S81" s="3">
        <f t="shared" ca="1" si="39"/>
        <v>519204.5185998528</v>
      </c>
      <c r="T81" s="3">
        <f t="shared" ca="1" si="40"/>
        <v>435478.08973476721</v>
      </c>
      <c r="U81" s="5">
        <f t="shared" ca="1" si="41"/>
        <v>83726.428865085589</v>
      </c>
    </row>
    <row r="82" spans="1:21" x14ac:dyDescent="0.35">
      <c r="A82">
        <f t="shared" ca="1" si="23"/>
        <v>1</v>
      </c>
      <c r="B82" s="4" t="str">
        <f t="shared" ca="1" si="21"/>
        <v>M</v>
      </c>
      <c r="C82" s="3">
        <f t="shared" ca="1" si="24"/>
        <v>5</v>
      </c>
      <c r="D82" s="3">
        <f t="shared" ca="1" si="22"/>
        <v>29</v>
      </c>
      <c r="E82" s="3" t="str">
        <f t="shared" ca="1" si="25"/>
        <v>Research</v>
      </c>
      <c r="F82" s="3">
        <f t="shared" ca="1" si="26"/>
        <v>2</v>
      </c>
      <c r="G82" s="3" t="str">
        <f t="shared" ca="1" si="27"/>
        <v>Senior Secondary</v>
      </c>
      <c r="H82" s="3">
        <f t="shared" ca="1" si="28"/>
        <v>3</v>
      </c>
      <c r="I82" s="3">
        <f t="shared" ca="1" si="29"/>
        <v>2</v>
      </c>
      <c r="J82" s="3">
        <f t="shared" ca="1" si="30"/>
        <v>1</v>
      </c>
      <c r="K82" s="3" t="str">
        <f t="shared" ca="1" si="31"/>
        <v>Haryana</v>
      </c>
      <c r="L82" s="3">
        <f t="shared" ca="1" si="32"/>
        <v>30053</v>
      </c>
      <c r="M82" s="3">
        <f t="shared" ca="1" si="33"/>
        <v>240424</v>
      </c>
      <c r="N82" s="3">
        <f t="shared" ca="1" si="34"/>
        <v>13262.713154391964</v>
      </c>
      <c r="O82" s="3">
        <f t="shared" ca="1" si="35"/>
        <v>53369.685689124366</v>
      </c>
      <c r="P82" s="3">
        <f t="shared" ca="1" si="36"/>
        <v>39726.991808740197</v>
      </c>
      <c r="Q82" s="3">
        <f t="shared" ca="1" si="37"/>
        <v>8379.9030129328148</v>
      </c>
      <c r="R82" s="3">
        <f t="shared" ca="1" si="38"/>
        <v>24971.036623008626</v>
      </c>
      <c r="S82" s="3">
        <f t="shared" ca="1" si="39"/>
        <v>318764.722312133</v>
      </c>
      <c r="T82" s="3">
        <f t="shared" ca="1" si="40"/>
        <v>61369.607976064974</v>
      </c>
      <c r="U82" s="5">
        <f t="shared" ca="1" si="41"/>
        <v>257395.11433606804</v>
      </c>
    </row>
    <row r="83" spans="1:21" x14ac:dyDescent="0.35">
      <c r="A83">
        <f t="shared" ca="1" si="23"/>
        <v>2</v>
      </c>
      <c r="B83" s="4" t="str">
        <f t="shared" ca="1" si="21"/>
        <v>F</v>
      </c>
      <c r="C83" s="3">
        <f t="shared" ca="1" si="24"/>
        <v>5</v>
      </c>
      <c r="D83" s="3">
        <f t="shared" ca="1" si="22"/>
        <v>21</v>
      </c>
      <c r="E83" s="3" t="str">
        <f t="shared" ca="1" si="25"/>
        <v>Research</v>
      </c>
      <c r="F83" s="3">
        <f t="shared" ca="1" si="26"/>
        <v>3</v>
      </c>
      <c r="G83" s="3" t="str">
        <f t="shared" ca="1" si="27"/>
        <v>UG</v>
      </c>
      <c r="H83" s="3">
        <f t="shared" ca="1" si="28"/>
        <v>2</v>
      </c>
      <c r="I83" s="3">
        <f t="shared" ca="1" si="29"/>
        <v>0</v>
      </c>
      <c r="J83" s="3">
        <f t="shared" ca="1" si="30"/>
        <v>22</v>
      </c>
      <c r="K83" s="3" t="str">
        <f t="shared" ca="1" si="31"/>
        <v>Rajasthan</v>
      </c>
      <c r="L83" s="3">
        <f t="shared" ca="1" si="32"/>
        <v>28126</v>
      </c>
      <c r="M83" s="3">
        <f t="shared" ca="1" si="33"/>
        <v>140630</v>
      </c>
      <c r="N83" s="3">
        <f t="shared" ca="1" si="34"/>
        <v>101004.89789397606</v>
      </c>
      <c r="O83" s="3">
        <f t="shared" ca="1" si="35"/>
        <v>0</v>
      </c>
      <c r="P83" s="3">
        <f t="shared" ca="1" si="36"/>
        <v>0</v>
      </c>
      <c r="Q83" s="3">
        <f t="shared" ca="1" si="37"/>
        <v>24153.113769387714</v>
      </c>
      <c r="R83" s="3">
        <f t="shared" ca="1" si="38"/>
        <v>1758.2618932973137</v>
      </c>
      <c r="S83" s="3">
        <f t="shared" ca="1" si="39"/>
        <v>142388.26189329731</v>
      </c>
      <c r="T83" s="3">
        <f t="shared" ca="1" si="40"/>
        <v>125158.01166336377</v>
      </c>
      <c r="U83" s="5">
        <f t="shared" ca="1" si="41"/>
        <v>17230.250229933547</v>
      </c>
    </row>
    <row r="84" spans="1:21" x14ac:dyDescent="0.35">
      <c r="A84">
        <f t="shared" ca="1" si="23"/>
        <v>1</v>
      </c>
      <c r="B84" s="4" t="str">
        <f t="shared" ca="1" si="21"/>
        <v>M</v>
      </c>
      <c r="C84" s="3">
        <f t="shared" ca="1" si="24"/>
        <v>7</v>
      </c>
      <c r="D84" s="3">
        <f t="shared" ca="1" si="22"/>
        <v>19</v>
      </c>
      <c r="E84" s="3" t="str">
        <f t="shared" ca="1" si="25"/>
        <v>Other</v>
      </c>
      <c r="F84" s="3">
        <f t="shared" ca="1" si="26"/>
        <v>6</v>
      </c>
      <c r="G84" s="3" t="str">
        <f t="shared" ca="1" si="27"/>
        <v>Doctorate</v>
      </c>
      <c r="H84" s="3">
        <f t="shared" ca="1" si="28"/>
        <v>1</v>
      </c>
      <c r="I84" s="3">
        <f t="shared" ca="1" si="29"/>
        <v>0</v>
      </c>
      <c r="J84" s="3">
        <f t="shared" ca="1" si="30"/>
        <v>12</v>
      </c>
      <c r="K84" s="3" t="str">
        <f t="shared" ca="1" si="31"/>
        <v>Himachal Pradesh</v>
      </c>
      <c r="L84" s="3">
        <f t="shared" ca="1" si="32"/>
        <v>96168</v>
      </c>
      <c r="M84" s="3">
        <f t="shared" ca="1" si="33"/>
        <v>577008</v>
      </c>
      <c r="N84" s="3">
        <f t="shared" ca="1" si="34"/>
        <v>187444.83333239143</v>
      </c>
      <c r="O84" s="3">
        <f t="shared" ca="1" si="35"/>
        <v>0</v>
      </c>
      <c r="P84" s="3">
        <f t="shared" ca="1" si="36"/>
        <v>0</v>
      </c>
      <c r="Q84" s="3">
        <f t="shared" ca="1" si="37"/>
        <v>515.16154545111226</v>
      </c>
      <c r="R84" s="3">
        <f t="shared" ca="1" si="38"/>
        <v>23812.045815465128</v>
      </c>
      <c r="S84" s="3">
        <f t="shared" ca="1" si="39"/>
        <v>600820.04581546516</v>
      </c>
      <c r="T84" s="3">
        <f t="shared" ca="1" si="40"/>
        <v>187959.99487784255</v>
      </c>
      <c r="U84" s="5">
        <f t="shared" ca="1" si="41"/>
        <v>412860.05093762261</v>
      </c>
    </row>
    <row r="85" spans="1:21" x14ac:dyDescent="0.35">
      <c r="A85">
        <f t="shared" ca="1" si="23"/>
        <v>1</v>
      </c>
      <c r="B85" s="4" t="str">
        <f t="shared" ca="1" si="21"/>
        <v>M</v>
      </c>
      <c r="C85" s="3">
        <f t="shared" ca="1" si="24"/>
        <v>4</v>
      </c>
      <c r="D85" s="3">
        <f t="shared" ca="1" si="22"/>
        <v>43</v>
      </c>
      <c r="E85" s="3" t="str">
        <f t="shared" ca="1" si="25"/>
        <v>Accounting</v>
      </c>
      <c r="F85" s="3">
        <f t="shared" ca="1" si="26"/>
        <v>6</v>
      </c>
      <c r="G85" s="3" t="str">
        <f t="shared" ca="1" si="27"/>
        <v>Doctorate</v>
      </c>
      <c r="H85" s="3">
        <f t="shared" ca="1" si="28"/>
        <v>1</v>
      </c>
      <c r="I85" s="3">
        <f t="shared" ca="1" si="29"/>
        <v>0</v>
      </c>
      <c r="J85" s="3">
        <f t="shared" ca="1" si="30"/>
        <v>12</v>
      </c>
      <c r="K85" s="3" t="str">
        <f t="shared" ca="1" si="31"/>
        <v>Himachal Pradesh</v>
      </c>
      <c r="L85" s="3">
        <f t="shared" ca="1" si="32"/>
        <v>75446</v>
      </c>
      <c r="M85" s="3">
        <f t="shared" ca="1" si="33"/>
        <v>377230</v>
      </c>
      <c r="N85" s="3">
        <f t="shared" ca="1" si="34"/>
        <v>336507.15287866781</v>
      </c>
      <c r="O85" s="3">
        <f t="shared" ca="1" si="35"/>
        <v>0</v>
      </c>
      <c r="P85" s="3">
        <f t="shared" ca="1" si="36"/>
        <v>0</v>
      </c>
      <c r="Q85" s="3">
        <f t="shared" ca="1" si="37"/>
        <v>40542.65230948096</v>
      </c>
      <c r="R85" s="3">
        <f t="shared" ca="1" si="38"/>
        <v>29438.752201033756</v>
      </c>
      <c r="S85" s="3">
        <f t="shared" ca="1" si="39"/>
        <v>406668.75220103376</v>
      </c>
      <c r="T85" s="3">
        <f t="shared" ca="1" si="40"/>
        <v>377049.80518814875</v>
      </c>
      <c r="U85" s="5">
        <f t="shared" ca="1" si="41"/>
        <v>29618.947012885008</v>
      </c>
    </row>
    <row r="86" spans="1:21" x14ac:dyDescent="0.35">
      <c r="A86">
        <f t="shared" ca="1" si="23"/>
        <v>2</v>
      </c>
      <c r="B86" s="4" t="str">
        <f t="shared" ca="1" si="21"/>
        <v>F</v>
      </c>
      <c r="C86" s="3">
        <f t="shared" ca="1" si="24"/>
        <v>4</v>
      </c>
      <c r="D86" s="3">
        <f t="shared" ca="1" si="22"/>
        <v>25</v>
      </c>
      <c r="E86" s="3" t="str">
        <f t="shared" ca="1" si="25"/>
        <v>Accounting</v>
      </c>
      <c r="F86" s="3">
        <f t="shared" ca="1" si="26"/>
        <v>3</v>
      </c>
      <c r="G86" s="3" t="str">
        <f t="shared" ca="1" si="27"/>
        <v>UG</v>
      </c>
      <c r="H86" s="3">
        <f t="shared" ca="1" si="28"/>
        <v>1</v>
      </c>
      <c r="I86" s="3">
        <f t="shared" ca="1" si="29"/>
        <v>1</v>
      </c>
      <c r="J86" s="3">
        <f t="shared" ca="1" si="30"/>
        <v>7</v>
      </c>
      <c r="K86" s="3" t="str">
        <f t="shared" ca="1" si="31"/>
        <v>Assam</v>
      </c>
      <c r="L86" s="3">
        <f t="shared" ca="1" si="32"/>
        <v>33662</v>
      </c>
      <c r="M86" s="3">
        <f t="shared" ca="1" si="33"/>
        <v>168310</v>
      </c>
      <c r="N86" s="3">
        <f t="shared" ca="1" si="34"/>
        <v>128952.44976439672</v>
      </c>
      <c r="O86" s="3">
        <f t="shared" ca="1" si="35"/>
        <v>7541.0105010112202</v>
      </c>
      <c r="P86" s="3">
        <f t="shared" ca="1" si="36"/>
        <v>4595.3825808882702</v>
      </c>
      <c r="Q86" s="3">
        <f t="shared" ca="1" si="37"/>
        <v>1585.4471734892288</v>
      </c>
      <c r="R86" s="3">
        <f t="shared" ca="1" si="38"/>
        <v>12343.404830393511</v>
      </c>
      <c r="S86" s="3">
        <f t="shared" ca="1" si="39"/>
        <v>188194.41533140471</v>
      </c>
      <c r="T86" s="3">
        <f t="shared" ca="1" si="40"/>
        <v>135133.27951877422</v>
      </c>
      <c r="U86" s="5">
        <f t="shared" ca="1" si="41"/>
        <v>53061.135812630499</v>
      </c>
    </row>
    <row r="87" spans="1:21" x14ac:dyDescent="0.35">
      <c r="A87">
        <f t="shared" ca="1" si="23"/>
        <v>2</v>
      </c>
      <c r="B87" s="4" t="str">
        <f t="shared" ca="1" si="21"/>
        <v>F</v>
      </c>
      <c r="C87" s="3">
        <f t="shared" ca="1" si="24"/>
        <v>3</v>
      </c>
      <c r="D87" s="3">
        <f t="shared" ca="1" si="22"/>
        <v>42</v>
      </c>
      <c r="E87" s="3" t="str">
        <f t="shared" ca="1" si="25"/>
        <v>IT</v>
      </c>
      <c r="F87" s="3">
        <f t="shared" ca="1" si="26"/>
        <v>2</v>
      </c>
      <c r="G87" s="3" t="str">
        <f t="shared" ca="1" si="27"/>
        <v>Senior Secondary</v>
      </c>
      <c r="H87" s="3">
        <f t="shared" ca="1" si="28"/>
        <v>4</v>
      </c>
      <c r="I87" s="3">
        <f t="shared" ca="1" si="29"/>
        <v>1</v>
      </c>
      <c r="J87" s="3">
        <f t="shared" ca="1" si="30"/>
        <v>17</v>
      </c>
      <c r="K87" s="3" t="str">
        <f t="shared" ca="1" si="31"/>
        <v xml:space="preserve">Manipur </v>
      </c>
      <c r="L87" s="3">
        <f t="shared" ca="1" si="32"/>
        <v>65052</v>
      </c>
      <c r="M87" s="3">
        <f t="shared" ca="1" si="33"/>
        <v>390312</v>
      </c>
      <c r="N87" s="3">
        <f t="shared" ca="1" si="34"/>
        <v>106772.17530082373</v>
      </c>
      <c r="O87" s="3">
        <f t="shared" ca="1" si="35"/>
        <v>33996.397208212205</v>
      </c>
      <c r="P87" s="3">
        <f t="shared" ca="1" si="36"/>
        <v>29524.743259948656</v>
      </c>
      <c r="Q87" s="3">
        <f t="shared" ca="1" si="37"/>
        <v>60226.538316729879</v>
      </c>
      <c r="R87" s="3">
        <f t="shared" ca="1" si="38"/>
        <v>40335.87761220066</v>
      </c>
      <c r="S87" s="3">
        <f t="shared" ca="1" si="39"/>
        <v>464644.27482041286</v>
      </c>
      <c r="T87" s="3">
        <f t="shared" ca="1" si="40"/>
        <v>196523.45687750226</v>
      </c>
      <c r="U87" s="5">
        <f t="shared" ca="1" si="41"/>
        <v>268120.81794291059</v>
      </c>
    </row>
    <row r="88" spans="1:21" x14ac:dyDescent="0.35">
      <c r="A88">
        <f t="shared" ca="1" si="23"/>
        <v>1</v>
      </c>
      <c r="B88" s="4" t="str">
        <f t="shared" ca="1" si="21"/>
        <v>M</v>
      </c>
      <c r="C88" s="3">
        <f t="shared" ca="1" si="24"/>
        <v>4</v>
      </c>
      <c r="D88" s="3">
        <f t="shared" ca="1" si="22"/>
        <v>19</v>
      </c>
      <c r="E88" s="3" t="str">
        <f t="shared" ca="1" si="25"/>
        <v>Accounting</v>
      </c>
      <c r="F88" s="3">
        <f t="shared" ca="1" si="26"/>
        <v>2</v>
      </c>
      <c r="G88" s="3" t="str">
        <f t="shared" ca="1" si="27"/>
        <v>Senior Secondary</v>
      </c>
      <c r="H88" s="3">
        <f t="shared" ca="1" si="28"/>
        <v>3</v>
      </c>
      <c r="I88" s="3">
        <f t="shared" ca="1" si="29"/>
        <v>2</v>
      </c>
      <c r="J88" s="3">
        <f t="shared" ca="1" si="30"/>
        <v>1</v>
      </c>
      <c r="K88" s="3" t="str">
        <f t="shared" ca="1" si="31"/>
        <v>Haryana</v>
      </c>
      <c r="L88" s="3">
        <f t="shared" ca="1" si="32"/>
        <v>74951</v>
      </c>
      <c r="M88" s="3">
        <f t="shared" ca="1" si="33"/>
        <v>599608</v>
      </c>
      <c r="N88" s="3">
        <f t="shared" ca="1" si="34"/>
        <v>330921.91889755276</v>
      </c>
      <c r="O88" s="3">
        <f t="shared" ca="1" si="35"/>
        <v>367.51959716357055</v>
      </c>
      <c r="P88" s="3">
        <f t="shared" ca="1" si="36"/>
        <v>240.60898606988022</v>
      </c>
      <c r="Q88" s="3">
        <f t="shared" ca="1" si="37"/>
        <v>64011.820271137592</v>
      </c>
      <c r="R88" s="3">
        <f t="shared" ca="1" si="38"/>
        <v>64412.423226697319</v>
      </c>
      <c r="S88" s="3">
        <f t="shared" ca="1" si="39"/>
        <v>664387.94282386091</v>
      </c>
      <c r="T88" s="3">
        <f t="shared" ca="1" si="40"/>
        <v>395174.3481547602</v>
      </c>
      <c r="U88" s="5">
        <f t="shared" ca="1" si="41"/>
        <v>269213.59466910071</v>
      </c>
    </row>
    <row r="89" spans="1:21" x14ac:dyDescent="0.35">
      <c r="A89">
        <f t="shared" ca="1" si="23"/>
        <v>1</v>
      </c>
      <c r="B89" s="4" t="str">
        <f t="shared" ca="1" si="21"/>
        <v>M</v>
      </c>
      <c r="C89" s="3">
        <f t="shared" ca="1" si="24"/>
        <v>4</v>
      </c>
      <c r="D89" s="3">
        <f t="shared" ca="1" si="22"/>
        <v>21</v>
      </c>
      <c r="E89" s="3" t="str">
        <f t="shared" ca="1" si="25"/>
        <v>Accounting</v>
      </c>
      <c r="F89" s="3">
        <f t="shared" ca="1" si="26"/>
        <v>7</v>
      </c>
      <c r="G89" s="3" t="str">
        <f t="shared" ca="1" si="27"/>
        <v>Other</v>
      </c>
      <c r="H89" s="3">
        <f t="shared" ca="1" si="28"/>
        <v>4</v>
      </c>
      <c r="I89" s="3">
        <f t="shared" ca="1" si="29"/>
        <v>3</v>
      </c>
      <c r="J89" s="3">
        <f t="shared" ca="1" si="30"/>
        <v>4</v>
      </c>
      <c r="K89" s="3" t="str">
        <f t="shared" ca="1" si="31"/>
        <v>Maharashtra</v>
      </c>
      <c r="L89" s="3">
        <f t="shared" ca="1" si="32"/>
        <v>91658</v>
      </c>
      <c r="M89" s="3">
        <f t="shared" ca="1" si="33"/>
        <v>549948</v>
      </c>
      <c r="N89" s="3">
        <f t="shared" ca="1" si="34"/>
        <v>299834.19569191179</v>
      </c>
      <c r="O89" s="3">
        <f t="shared" ca="1" si="35"/>
        <v>217052.94003840329</v>
      </c>
      <c r="P89" s="3">
        <f t="shared" ca="1" si="36"/>
        <v>167298.03647599055</v>
      </c>
      <c r="Q89" s="3">
        <f t="shared" ca="1" si="37"/>
        <v>59008.63161075204</v>
      </c>
      <c r="R89" s="3">
        <f t="shared" ca="1" si="38"/>
        <v>90936.010308617682</v>
      </c>
      <c r="S89" s="3">
        <f t="shared" ca="1" si="39"/>
        <v>857936.95034702099</v>
      </c>
      <c r="T89" s="3">
        <f t="shared" ca="1" si="40"/>
        <v>526140.86377865437</v>
      </c>
      <c r="U89" s="5">
        <f t="shared" ca="1" si="41"/>
        <v>331796.08656836662</v>
      </c>
    </row>
    <row r="90" spans="1:21" x14ac:dyDescent="0.35">
      <c r="A90">
        <f t="shared" ca="1" si="23"/>
        <v>2</v>
      </c>
      <c r="B90" s="4" t="str">
        <f t="shared" ca="1" si="21"/>
        <v>F</v>
      </c>
      <c r="C90" s="3">
        <f t="shared" ca="1" si="24"/>
        <v>5</v>
      </c>
      <c r="D90" s="3">
        <f t="shared" ca="1" si="22"/>
        <v>39</v>
      </c>
      <c r="E90" s="3" t="str">
        <f t="shared" ca="1" si="25"/>
        <v>Research</v>
      </c>
      <c r="F90" s="3">
        <f t="shared" ca="1" si="26"/>
        <v>7</v>
      </c>
      <c r="G90" s="3" t="str">
        <f t="shared" ca="1" si="27"/>
        <v>Other</v>
      </c>
      <c r="H90" s="3">
        <f t="shared" ca="1" si="28"/>
        <v>2</v>
      </c>
      <c r="I90" s="3">
        <f t="shared" ca="1" si="29"/>
        <v>2</v>
      </c>
      <c r="J90" s="3">
        <f t="shared" ca="1" si="30"/>
        <v>18</v>
      </c>
      <c r="K90" s="3" t="str">
        <f t="shared" ca="1" si="31"/>
        <v>Meghalya</v>
      </c>
      <c r="L90" s="3">
        <f t="shared" ca="1" si="32"/>
        <v>63837</v>
      </c>
      <c r="M90" s="3">
        <f t="shared" ca="1" si="33"/>
        <v>510696</v>
      </c>
      <c r="N90" s="3">
        <f t="shared" ca="1" si="34"/>
        <v>410783.27032979939</v>
      </c>
      <c r="O90" s="3">
        <f t="shared" ca="1" si="35"/>
        <v>17279.389094680395</v>
      </c>
      <c r="P90" s="3">
        <f t="shared" ca="1" si="36"/>
        <v>6118.0925874923014</v>
      </c>
      <c r="Q90" s="3">
        <f t="shared" ca="1" si="37"/>
        <v>10208.139493670289</v>
      </c>
      <c r="R90" s="3">
        <f t="shared" ca="1" si="38"/>
        <v>44668.321342903248</v>
      </c>
      <c r="S90" s="3">
        <f t="shared" ca="1" si="39"/>
        <v>572643.71043758374</v>
      </c>
      <c r="T90" s="3">
        <f t="shared" ca="1" si="40"/>
        <v>427109.50241096201</v>
      </c>
      <c r="U90" s="5">
        <f t="shared" ca="1" si="41"/>
        <v>145534.20802662172</v>
      </c>
    </row>
    <row r="91" spans="1:21" x14ac:dyDescent="0.35">
      <c r="A91">
        <f t="shared" ca="1" si="23"/>
        <v>1</v>
      </c>
      <c r="B91" s="4" t="str">
        <f t="shared" ca="1" si="21"/>
        <v>M</v>
      </c>
      <c r="C91" s="3">
        <f t="shared" ca="1" si="24"/>
        <v>5</v>
      </c>
      <c r="D91" s="3">
        <f t="shared" ca="1" si="22"/>
        <v>32</v>
      </c>
      <c r="E91" s="3" t="str">
        <f t="shared" ca="1" si="25"/>
        <v>Research</v>
      </c>
      <c r="F91" s="3">
        <f t="shared" ca="1" si="26"/>
        <v>7</v>
      </c>
      <c r="G91" s="3" t="str">
        <f t="shared" ca="1" si="27"/>
        <v>Other</v>
      </c>
      <c r="H91" s="3">
        <f t="shared" ca="1" si="28"/>
        <v>3</v>
      </c>
      <c r="I91" s="3">
        <f t="shared" ca="1" si="29"/>
        <v>0</v>
      </c>
      <c r="J91" s="3">
        <f t="shared" ca="1" si="30"/>
        <v>25</v>
      </c>
      <c r="K91" s="3" t="str">
        <f t="shared" ca="1" si="31"/>
        <v>Telangana</v>
      </c>
      <c r="L91" s="3">
        <f t="shared" ca="1" si="32"/>
        <v>44631</v>
      </c>
      <c r="M91" s="3">
        <f t="shared" ca="1" si="33"/>
        <v>401679</v>
      </c>
      <c r="N91" s="3">
        <f t="shared" ca="1" si="34"/>
        <v>392161.28743794764</v>
      </c>
      <c r="O91" s="3">
        <f t="shared" ca="1" si="35"/>
        <v>0</v>
      </c>
      <c r="P91" s="3">
        <f t="shared" ca="1" si="36"/>
        <v>0</v>
      </c>
      <c r="Q91" s="3">
        <f t="shared" ca="1" si="37"/>
        <v>26709.85366534238</v>
      </c>
      <c r="R91" s="3">
        <f t="shared" ca="1" si="38"/>
        <v>5792.7890314209681</v>
      </c>
      <c r="S91" s="3">
        <f t="shared" ca="1" si="39"/>
        <v>407471.78903142095</v>
      </c>
      <c r="T91" s="3">
        <f t="shared" ca="1" si="40"/>
        <v>418871.14110329002</v>
      </c>
      <c r="U91" s="5">
        <f t="shared" ca="1" si="41"/>
        <v>-11399.352071869071</v>
      </c>
    </row>
    <row r="92" spans="1:21" x14ac:dyDescent="0.35">
      <c r="A92">
        <f t="shared" ca="1" si="23"/>
        <v>2</v>
      </c>
      <c r="B92" s="4" t="str">
        <f t="shared" ca="1" si="21"/>
        <v>F</v>
      </c>
      <c r="C92" s="3">
        <f t="shared" ca="1" si="24"/>
        <v>3</v>
      </c>
      <c r="D92" s="3">
        <f t="shared" ca="1" si="22"/>
        <v>43</v>
      </c>
      <c r="E92" s="3" t="str">
        <f t="shared" ca="1" si="25"/>
        <v>IT</v>
      </c>
      <c r="F92" s="3">
        <f t="shared" ca="1" si="26"/>
        <v>6</v>
      </c>
      <c r="G92" s="3" t="str">
        <f t="shared" ca="1" si="27"/>
        <v>Doctorate</v>
      </c>
      <c r="H92" s="3">
        <f t="shared" ca="1" si="28"/>
        <v>1</v>
      </c>
      <c r="I92" s="3">
        <f t="shared" ca="1" si="29"/>
        <v>1</v>
      </c>
      <c r="J92" s="3">
        <f t="shared" ca="1" si="30"/>
        <v>26</v>
      </c>
      <c r="K92" s="3" t="str">
        <f t="shared" ca="1" si="31"/>
        <v>Tripura</v>
      </c>
      <c r="L92" s="3">
        <f t="shared" ca="1" si="32"/>
        <v>93342</v>
      </c>
      <c r="M92" s="3">
        <f t="shared" ca="1" si="33"/>
        <v>653394</v>
      </c>
      <c r="N92" s="3">
        <f t="shared" ca="1" si="34"/>
        <v>231059.63567216144</v>
      </c>
      <c r="O92" s="3">
        <f t="shared" ca="1" si="35"/>
        <v>79358.212742728836</v>
      </c>
      <c r="P92" s="3">
        <f t="shared" ca="1" si="36"/>
        <v>20896.404894794425</v>
      </c>
      <c r="Q92" s="3">
        <f t="shared" ca="1" si="37"/>
        <v>76695.455886848067</v>
      </c>
      <c r="R92" s="3">
        <f t="shared" ca="1" si="38"/>
        <v>7078.614573771687</v>
      </c>
      <c r="S92" s="3">
        <f t="shared" ca="1" si="39"/>
        <v>739830.8273165006</v>
      </c>
      <c r="T92" s="3">
        <f t="shared" ca="1" si="40"/>
        <v>328651.49645380396</v>
      </c>
      <c r="U92" s="5">
        <f t="shared" ca="1" si="41"/>
        <v>411179.33086269663</v>
      </c>
    </row>
    <row r="93" spans="1:21" x14ac:dyDescent="0.35">
      <c r="A93">
        <f t="shared" ca="1" si="23"/>
        <v>2</v>
      </c>
      <c r="B93" s="4" t="str">
        <f t="shared" ca="1" si="21"/>
        <v>F</v>
      </c>
      <c r="C93" s="3">
        <f t="shared" ca="1" si="24"/>
        <v>7</v>
      </c>
      <c r="D93" s="3">
        <f t="shared" ca="1" si="22"/>
        <v>25</v>
      </c>
      <c r="E93" s="3" t="str">
        <f t="shared" ca="1" si="25"/>
        <v>Other</v>
      </c>
      <c r="F93" s="3">
        <f t="shared" ca="1" si="26"/>
        <v>7</v>
      </c>
      <c r="G93" s="3" t="str">
        <f t="shared" ca="1" si="27"/>
        <v>Other</v>
      </c>
      <c r="H93" s="3">
        <f t="shared" ca="1" si="28"/>
        <v>0</v>
      </c>
      <c r="I93" s="3">
        <f t="shared" ca="1" si="29"/>
        <v>2</v>
      </c>
      <c r="J93" s="3">
        <f t="shared" ca="1" si="30"/>
        <v>2</v>
      </c>
      <c r="K93" s="3" t="str">
        <f t="shared" ca="1" si="31"/>
        <v>Uttar Pradesh</v>
      </c>
      <c r="L93" s="3">
        <f t="shared" ca="1" si="32"/>
        <v>74630</v>
      </c>
      <c r="M93" s="3">
        <f t="shared" ca="1" si="33"/>
        <v>522410</v>
      </c>
      <c r="N93" s="3">
        <f t="shared" ca="1" si="34"/>
        <v>101591.20526677725</v>
      </c>
      <c r="O93" s="3">
        <f t="shared" ca="1" si="35"/>
        <v>54522.731002228982</v>
      </c>
      <c r="P93" s="3">
        <f t="shared" ca="1" si="36"/>
        <v>49677.443734771892</v>
      </c>
      <c r="Q93" s="3">
        <f t="shared" ca="1" si="37"/>
        <v>17171.773232502976</v>
      </c>
      <c r="R93" s="3">
        <f t="shared" ca="1" si="38"/>
        <v>29249.941237579736</v>
      </c>
      <c r="S93" s="3">
        <f t="shared" ca="1" si="39"/>
        <v>606182.67223980871</v>
      </c>
      <c r="T93" s="3">
        <f t="shared" ca="1" si="40"/>
        <v>168440.42223405212</v>
      </c>
      <c r="U93" s="5">
        <f t="shared" ca="1" si="41"/>
        <v>437742.25000575662</v>
      </c>
    </row>
    <row r="94" spans="1:21" x14ac:dyDescent="0.35">
      <c r="A94">
        <f t="shared" ca="1" si="23"/>
        <v>2</v>
      </c>
      <c r="B94" s="4" t="str">
        <f t="shared" ca="1" si="21"/>
        <v>F</v>
      </c>
      <c r="C94" s="3">
        <f t="shared" ca="1" si="24"/>
        <v>4</v>
      </c>
      <c r="D94" s="3">
        <f t="shared" ca="1" si="22"/>
        <v>42</v>
      </c>
      <c r="E94" s="3" t="str">
        <f t="shared" ca="1" si="25"/>
        <v>Accounting</v>
      </c>
      <c r="F94" s="3">
        <f t="shared" ca="1" si="26"/>
        <v>3</v>
      </c>
      <c r="G94" s="3" t="str">
        <f t="shared" ca="1" si="27"/>
        <v>UG</v>
      </c>
      <c r="H94" s="3">
        <f t="shared" ca="1" si="28"/>
        <v>2</v>
      </c>
      <c r="I94" s="3">
        <f t="shared" ca="1" si="29"/>
        <v>2</v>
      </c>
      <c r="J94" s="3">
        <f t="shared" ca="1" si="30"/>
        <v>12</v>
      </c>
      <c r="K94" s="3" t="str">
        <f t="shared" ca="1" si="31"/>
        <v>Himachal Pradesh</v>
      </c>
      <c r="L94" s="3">
        <f t="shared" ca="1" si="32"/>
        <v>69515</v>
      </c>
      <c r="M94" s="3">
        <f t="shared" ca="1" si="33"/>
        <v>486605</v>
      </c>
      <c r="N94" s="3">
        <f t="shared" ca="1" si="34"/>
        <v>97673.900730266643</v>
      </c>
      <c r="O94" s="3">
        <f t="shared" ca="1" si="35"/>
        <v>110228.36364467983</v>
      </c>
      <c r="P94" s="3">
        <f t="shared" ca="1" si="36"/>
        <v>69113.276373515604</v>
      </c>
      <c r="Q94" s="3">
        <f t="shared" ca="1" si="37"/>
        <v>4051.8993452019854</v>
      </c>
      <c r="R94" s="3">
        <f t="shared" ca="1" si="38"/>
        <v>13779.294253938866</v>
      </c>
      <c r="S94" s="3">
        <f t="shared" ca="1" si="39"/>
        <v>610612.65789861861</v>
      </c>
      <c r="T94" s="3">
        <f t="shared" ca="1" si="40"/>
        <v>170839.07644898424</v>
      </c>
      <c r="U94" s="5">
        <f t="shared" ca="1" si="41"/>
        <v>439773.5814496344</v>
      </c>
    </row>
    <row r="95" spans="1:21" x14ac:dyDescent="0.35">
      <c r="A95">
        <f t="shared" ca="1" si="23"/>
        <v>1</v>
      </c>
      <c r="B95" s="4" t="str">
        <f t="shared" ca="1" si="21"/>
        <v>M</v>
      </c>
      <c r="C95" s="3">
        <f t="shared" ca="1" si="24"/>
        <v>7</v>
      </c>
      <c r="D95" s="3">
        <f t="shared" ca="1" si="22"/>
        <v>35</v>
      </c>
      <c r="E95" s="3" t="str">
        <f t="shared" ca="1" si="25"/>
        <v>Other</v>
      </c>
      <c r="F95" s="3">
        <f t="shared" ca="1" si="26"/>
        <v>4</v>
      </c>
      <c r="G95" s="3" t="str">
        <f t="shared" ca="1" si="27"/>
        <v>PG</v>
      </c>
      <c r="H95" s="3">
        <f t="shared" ca="1" si="28"/>
        <v>1</v>
      </c>
      <c r="I95" s="3">
        <f t="shared" ca="1" si="29"/>
        <v>1</v>
      </c>
      <c r="J95" s="3">
        <f t="shared" ca="1" si="30"/>
        <v>5</v>
      </c>
      <c r="K95" s="3" t="str">
        <f t="shared" ca="1" si="31"/>
        <v>Andhra Pradesh</v>
      </c>
      <c r="L95" s="3">
        <f t="shared" ca="1" si="32"/>
        <v>69718</v>
      </c>
      <c r="M95" s="3">
        <f t="shared" ca="1" si="33"/>
        <v>348590</v>
      </c>
      <c r="N95" s="3">
        <f t="shared" ca="1" si="34"/>
        <v>96000.5213621234</v>
      </c>
      <c r="O95" s="3">
        <f t="shared" ca="1" si="35"/>
        <v>10222.473496063019</v>
      </c>
      <c r="P95" s="3">
        <f t="shared" ca="1" si="36"/>
        <v>8961.2342708845772</v>
      </c>
      <c r="Q95" s="3">
        <f t="shared" ca="1" si="37"/>
        <v>35017.704704744589</v>
      </c>
      <c r="R95" s="3">
        <f t="shared" ca="1" si="38"/>
        <v>69241.377908980212</v>
      </c>
      <c r="S95" s="3">
        <f t="shared" ca="1" si="39"/>
        <v>428053.85140504327</v>
      </c>
      <c r="T95" s="3">
        <f t="shared" ca="1" si="40"/>
        <v>139979.46033775256</v>
      </c>
      <c r="U95" s="5">
        <f t="shared" ca="1" si="41"/>
        <v>288074.39106729068</v>
      </c>
    </row>
    <row r="96" spans="1:21" x14ac:dyDescent="0.35">
      <c r="A96">
        <f t="shared" ca="1" si="23"/>
        <v>1</v>
      </c>
      <c r="B96" s="4" t="str">
        <f t="shared" ca="1" si="21"/>
        <v>M</v>
      </c>
      <c r="C96" s="3">
        <f t="shared" ca="1" si="24"/>
        <v>3</v>
      </c>
      <c r="D96" s="3">
        <f t="shared" ca="1" si="22"/>
        <v>39</v>
      </c>
      <c r="E96" s="3" t="str">
        <f t="shared" ca="1" si="25"/>
        <v>IT</v>
      </c>
      <c r="F96" s="3">
        <f t="shared" ca="1" si="26"/>
        <v>2</v>
      </c>
      <c r="G96" s="3" t="str">
        <f t="shared" ca="1" si="27"/>
        <v>Senior Secondary</v>
      </c>
      <c r="H96" s="3">
        <f t="shared" ca="1" si="28"/>
        <v>4</v>
      </c>
      <c r="I96" s="3">
        <f t="shared" ca="1" si="29"/>
        <v>1</v>
      </c>
      <c r="J96" s="3">
        <f t="shared" ca="1" si="30"/>
        <v>12</v>
      </c>
      <c r="K96" s="3" t="str">
        <f t="shared" ca="1" si="31"/>
        <v>Himachal Pradesh</v>
      </c>
      <c r="L96" s="3">
        <f t="shared" ca="1" si="32"/>
        <v>81490</v>
      </c>
      <c r="M96" s="3">
        <f t="shared" ca="1" si="33"/>
        <v>488940</v>
      </c>
      <c r="N96" s="3">
        <f t="shared" ca="1" si="34"/>
        <v>137524.21904561983</v>
      </c>
      <c r="O96" s="3">
        <f t="shared" ca="1" si="35"/>
        <v>78209.757778276296</v>
      </c>
      <c r="P96" s="3">
        <f t="shared" ca="1" si="36"/>
        <v>8208.7629127014952</v>
      </c>
      <c r="Q96" s="3">
        <f t="shared" ca="1" si="37"/>
        <v>69855.473419862086</v>
      </c>
      <c r="R96" s="3">
        <f t="shared" ca="1" si="38"/>
        <v>68684.624713354497</v>
      </c>
      <c r="S96" s="3">
        <f t="shared" ca="1" si="39"/>
        <v>635834.38249163085</v>
      </c>
      <c r="T96" s="3">
        <f t="shared" ca="1" si="40"/>
        <v>215588.4553781834</v>
      </c>
      <c r="U96" s="5">
        <f t="shared" ca="1" si="41"/>
        <v>420245.92711344745</v>
      </c>
    </row>
    <row r="97" spans="1:21" x14ac:dyDescent="0.35">
      <c r="A97">
        <f t="shared" ca="1" si="23"/>
        <v>2</v>
      </c>
      <c r="B97" s="4" t="str">
        <f t="shared" ca="1" si="21"/>
        <v>F</v>
      </c>
      <c r="C97" s="3">
        <f t="shared" ca="1" si="24"/>
        <v>4</v>
      </c>
      <c r="D97" s="3">
        <f t="shared" ca="1" si="22"/>
        <v>34</v>
      </c>
      <c r="E97" s="3" t="str">
        <f t="shared" ca="1" si="25"/>
        <v>Accounting</v>
      </c>
      <c r="F97" s="3">
        <f t="shared" ca="1" si="26"/>
        <v>4</v>
      </c>
      <c r="G97" s="3" t="str">
        <f t="shared" ca="1" si="27"/>
        <v>PG</v>
      </c>
      <c r="H97" s="3">
        <f t="shared" ca="1" si="28"/>
        <v>2</v>
      </c>
      <c r="I97" s="3">
        <f t="shared" ca="1" si="29"/>
        <v>0</v>
      </c>
      <c r="J97" s="3">
        <f t="shared" ca="1" si="30"/>
        <v>10</v>
      </c>
      <c r="K97" s="3" t="str">
        <f t="shared" ca="1" si="31"/>
        <v>Gujarat</v>
      </c>
      <c r="L97" s="3">
        <f t="shared" ca="1" si="32"/>
        <v>34081</v>
      </c>
      <c r="M97" s="3">
        <f t="shared" ca="1" si="33"/>
        <v>204486</v>
      </c>
      <c r="N97" s="3">
        <f t="shared" ca="1" si="34"/>
        <v>29973.120619374382</v>
      </c>
      <c r="O97" s="3">
        <f t="shared" ca="1" si="35"/>
        <v>0</v>
      </c>
      <c r="P97" s="3">
        <f t="shared" ca="1" si="36"/>
        <v>0</v>
      </c>
      <c r="Q97" s="3">
        <f t="shared" ca="1" si="37"/>
        <v>9493.1479322045052</v>
      </c>
      <c r="R97" s="3">
        <f t="shared" ca="1" si="38"/>
        <v>16390.352918071196</v>
      </c>
      <c r="S97" s="3">
        <f t="shared" ca="1" si="39"/>
        <v>220876.35291807121</v>
      </c>
      <c r="T97" s="3">
        <f t="shared" ca="1" si="40"/>
        <v>39466.268551578891</v>
      </c>
      <c r="U97" s="5">
        <f t="shared" ca="1" si="41"/>
        <v>181410.08436649232</v>
      </c>
    </row>
    <row r="98" spans="1:21" x14ac:dyDescent="0.35">
      <c r="A98">
        <f t="shared" ca="1" si="23"/>
        <v>1</v>
      </c>
      <c r="B98" s="4" t="str">
        <f t="shared" ca="1" si="21"/>
        <v>M</v>
      </c>
      <c r="C98" s="3">
        <f t="shared" ca="1" si="24"/>
        <v>3</v>
      </c>
      <c r="D98" s="3">
        <f t="shared" ca="1" si="22"/>
        <v>24</v>
      </c>
      <c r="E98" s="3" t="str">
        <f t="shared" ca="1" si="25"/>
        <v>IT</v>
      </c>
      <c r="F98" s="3">
        <f t="shared" ca="1" si="26"/>
        <v>5</v>
      </c>
      <c r="G98" s="3" t="str">
        <f t="shared" ca="1" si="27"/>
        <v>Diploma</v>
      </c>
      <c r="H98" s="3">
        <f t="shared" ca="1" si="28"/>
        <v>1</v>
      </c>
      <c r="I98" s="3">
        <f t="shared" ca="1" si="29"/>
        <v>2</v>
      </c>
      <c r="J98" s="3">
        <f t="shared" ca="1" si="30"/>
        <v>22</v>
      </c>
      <c r="K98" s="3" t="str">
        <f t="shared" ca="1" si="31"/>
        <v>Rajasthan</v>
      </c>
      <c r="L98" s="3">
        <f t="shared" ca="1" si="32"/>
        <v>91963</v>
      </c>
      <c r="M98" s="3">
        <f t="shared" ca="1" si="33"/>
        <v>643741</v>
      </c>
      <c r="N98" s="3">
        <f t="shared" ca="1" si="34"/>
        <v>617989.51908285904</v>
      </c>
      <c r="O98" s="3">
        <f t="shared" ca="1" si="35"/>
        <v>6927.7750120182445</v>
      </c>
      <c r="P98" s="3">
        <f t="shared" ca="1" si="36"/>
        <v>26.277935517767983</v>
      </c>
      <c r="Q98" s="3">
        <f t="shared" ca="1" si="37"/>
        <v>63260.994159875889</v>
      </c>
      <c r="R98" s="3">
        <f t="shared" ca="1" si="38"/>
        <v>74456.23162095646</v>
      </c>
      <c r="S98" s="3">
        <f t="shared" ca="1" si="39"/>
        <v>725125.00663297472</v>
      </c>
      <c r="T98" s="3">
        <f t="shared" ca="1" si="40"/>
        <v>681276.79117825266</v>
      </c>
      <c r="U98" s="5">
        <f t="shared" ca="1" si="41"/>
        <v>43848.215454722056</v>
      </c>
    </row>
    <row r="99" spans="1:21" x14ac:dyDescent="0.35">
      <c r="A99">
        <f t="shared" ca="1" si="23"/>
        <v>1</v>
      </c>
      <c r="B99" s="4" t="str">
        <f t="shared" ca="1" si="21"/>
        <v>M</v>
      </c>
      <c r="C99" s="3">
        <f t="shared" ca="1" si="24"/>
        <v>7</v>
      </c>
      <c r="D99" s="3">
        <f t="shared" ca="1" si="22"/>
        <v>28</v>
      </c>
      <c r="E99" s="3" t="str">
        <f t="shared" ca="1" si="25"/>
        <v>Other</v>
      </c>
      <c r="F99" s="3">
        <f t="shared" ca="1" si="26"/>
        <v>6</v>
      </c>
      <c r="G99" s="3" t="str">
        <f t="shared" ca="1" si="27"/>
        <v>Doctorate</v>
      </c>
      <c r="H99" s="3">
        <f t="shared" ca="1" si="28"/>
        <v>2</v>
      </c>
      <c r="I99" s="3">
        <f t="shared" ca="1" si="29"/>
        <v>0</v>
      </c>
      <c r="J99" s="3">
        <f t="shared" ca="1" si="30"/>
        <v>27</v>
      </c>
      <c r="K99" s="3" t="str">
        <f t="shared" ca="1" si="31"/>
        <v>Uttrakhand</v>
      </c>
      <c r="L99" s="3">
        <f t="shared" ca="1" si="32"/>
        <v>63619</v>
      </c>
      <c r="M99" s="3">
        <f t="shared" ca="1" si="33"/>
        <v>572571</v>
      </c>
      <c r="N99" s="3">
        <f t="shared" ca="1" si="34"/>
        <v>472605.88462634239</v>
      </c>
      <c r="O99" s="3">
        <f t="shared" ca="1" si="35"/>
        <v>0</v>
      </c>
      <c r="P99" s="3">
        <f t="shared" ca="1" si="36"/>
        <v>0</v>
      </c>
      <c r="Q99" s="3">
        <f t="shared" ca="1" si="37"/>
        <v>58054.380434741353</v>
      </c>
      <c r="R99" s="3">
        <f t="shared" ca="1" si="38"/>
        <v>58819.804621891672</v>
      </c>
      <c r="S99" s="3">
        <f t="shared" ca="1" si="39"/>
        <v>631390.8046218917</v>
      </c>
      <c r="T99" s="3">
        <f t="shared" ca="1" si="40"/>
        <v>530660.26506108372</v>
      </c>
      <c r="U99" s="5">
        <f t="shared" ca="1" si="41"/>
        <v>100730.53956080799</v>
      </c>
    </row>
    <row r="100" spans="1:21" x14ac:dyDescent="0.35">
      <c r="A100">
        <f t="shared" ca="1" si="23"/>
        <v>2</v>
      </c>
      <c r="B100" s="4" t="str">
        <f t="shared" ca="1" si="21"/>
        <v>F</v>
      </c>
      <c r="C100" s="3">
        <f t="shared" ca="1" si="24"/>
        <v>2</v>
      </c>
      <c r="D100" s="3">
        <f t="shared" ca="1" si="22"/>
        <v>37</v>
      </c>
      <c r="E100" s="3" t="str">
        <f t="shared" ca="1" si="25"/>
        <v>Healthcare</v>
      </c>
      <c r="F100" s="3">
        <f t="shared" ca="1" si="26"/>
        <v>1</v>
      </c>
      <c r="G100" s="3" t="str">
        <f t="shared" ca="1" si="27"/>
        <v>Secondary</v>
      </c>
      <c r="H100" s="3">
        <f t="shared" ca="1" si="28"/>
        <v>0</v>
      </c>
      <c r="I100" s="3">
        <f t="shared" ca="1" si="29"/>
        <v>0</v>
      </c>
      <c r="J100" s="3">
        <f t="shared" ca="1" si="30"/>
        <v>18</v>
      </c>
      <c r="K100" s="3" t="str">
        <f t="shared" ca="1" si="31"/>
        <v>Meghalya</v>
      </c>
      <c r="L100" s="3">
        <f t="shared" ca="1" si="32"/>
        <v>54936</v>
      </c>
      <c r="M100" s="3">
        <f t="shared" ca="1" si="33"/>
        <v>329616</v>
      </c>
      <c r="N100" s="3">
        <f t="shared" ca="1" si="34"/>
        <v>197915.73419205076</v>
      </c>
      <c r="O100" s="3">
        <f t="shared" ca="1" si="35"/>
        <v>0</v>
      </c>
      <c r="P100" s="3">
        <f t="shared" ca="1" si="36"/>
        <v>0</v>
      </c>
      <c r="Q100" s="3">
        <f t="shared" ca="1" si="37"/>
        <v>51119.768201612787</v>
      </c>
      <c r="R100" s="3">
        <f t="shared" ca="1" si="38"/>
        <v>42532.460546600458</v>
      </c>
      <c r="S100" s="3">
        <f t="shared" ca="1" si="39"/>
        <v>372148.46054660046</v>
      </c>
      <c r="T100" s="3">
        <f t="shared" ca="1" si="40"/>
        <v>249035.50239366354</v>
      </c>
      <c r="U100" s="5">
        <f t="shared" ca="1" si="41"/>
        <v>123112.95815293692</v>
      </c>
    </row>
    <row r="101" spans="1:21" x14ac:dyDescent="0.35">
      <c r="A101">
        <f t="shared" ca="1" si="23"/>
        <v>2</v>
      </c>
      <c r="B101" s="4" t="str">
        <f t="shared" ca="1" si="21"/>
        <v>F</v>
      </c>
      <c r="C101" s="3">
        <f t="shared" ca="1" si="24"/>
        <v>4</v>
      </c>
      <c r="D101" s="3">
        <f t="shared" ca="1" si="22"/>
        <v>26</v>
      </c>
      <c r="E101" s="3" t="str">
        <f t="shared" ca="1" si="25"/>
        <v>Accounting</v>
      </c>
      <c r="F101" s="3">
        <f t="shared" ca="1" si="26"/>
        <v>5</v>
      </c>
      <c r="G101" s="3" t="str">
        <f t="shared" ca="1" si="27"/>
        <v>Diploma</v>
      </c>
      <c r="H101" s="3">
        <f t="shared" ca="1" si="28"/>
        <v>2</v>
      </c>
      <c r="I101" s="3">
        <f t="shared" ca="1" si="29"/>
        <v>3</v>
      </c>
      <c r="J101" s="3">
        <f t="shared" ca="1" si="30"/>
        <v>17</v>
      </c>
      <c r="K101" s="3" t="str">
        <f t="shared" ca="1" si="31"/>
        <v xml:space="preserve">Manipur </v>
      </c>
      <c r="L101" s="3">
        <f t="shared" ca="1" si="32"/>
        <v>73687</v>
      </c>
      <c r="M101" s="3">
        <f t="shared" ca="1" si="33"/>
        <v>589496</v>
      </c>
      <c r="N101" s="3">
        <f t="shared" ca="1" si="34"/>
        <v>104874.85474876294</v>
      </c>
      <c r="O101" s="3">
        <f t="shared" ca="1" si="35"/>
        <v>145085.2835968913</v>
      </c>
      <c r="P101" s="3">
        <f t="shared" ca="1" si="36"/>
        <v>122179.50825785974</v>
      </c>
      <c r="Q101" s="3">
        <f t="shared" ca="1" si="37"/>
        <v>46443.430948198205</v>
      </c>
      <c r="R101" s="3">
        <f t="shared" ca="1" si="38"/>
        <v>19258.530148054728</v>
      </c>
      <c r="S101" s="3">
        <f t="shared" ca="1" si="39"/>
        <v>753839.81374494603</v>
      </c>
      <c r="T101" s="3">
        <f t="shared" ca="1" si="40"/>
        <v>273497.7939548209</v>
      </c>
      <c r="U101" s="5">
        <f t="shared" ca="1" si="41"/>
        <v>480342.01979012514</v>
      </c>
    </row>
    <row r="102" spans="1:21" x14ac:dyDescent="0.35">
      <c r="A102">
        <f t="shared" ca="1" si="23"/>
        <v>1</v>
      </c>
      <c r="B102" s="4" t="str">
        <f t="shared" ca="1" si="21"/>
        <v>M</v>
      </c>
      <c r="C102" s="3">
        <f t="shared" ca="1" si="24"/>
        <v>7</v>
      </c>
      <c r="D102" s="3">
        <f t="shared" ca="1" si="22"/>
        <v>24</v>
      </c>
      <c r="E102" s="3" t="str">
        <f t="shared" ca="1" si="25"/>
        <v>Other</v>
      </c>
      <c r="F102" s="3">
        <f t="shared" ca="1" si="26"/>
        <v>2</v>
      </c>
      <c r="G102" s="3" t="str">
        <f t="shared" ca="1" si="27"/>
        <v>Senior Secondary</v>
      </c>
      <c r="H102" s="3">
        <f t="shared" ca="1" si="28"/>
        <v>3</v>
      </c>
      <c r="I102" s="3">
        <f t="shared" ca="1" si="29"/>
        <v>3</v>
      </c>
      <c r="J102" s="3">
        <f t="shared" ca="1" si="30"/>
        <v>26</v>
      </c>
      <c r="K102" s="3" t="str">
        <f t="shared" ca="1" si="31"/>
        <v>Tripura</v>
      </c>
      <c r="L102" s="3">
        <f t="shared" ca="1" si="32"/>
        <v>60252</v>
      </c>
      <c r="M102" s="3">
        <f t="shared" ca="1" si="33"/>
        <v>301260</v>
      </c>
      <c r="N102" s="3">
        <f t="shared" ca="1" si="34"/>
        <v>143576.91834598506</v>
      </c>
      <c r="O102" s="3">
        <f t="shared" ca="1" si="35"/>
        <v>18870.133142147082</v>
      </c>
      <c r="P102" s="3">
        <f t="shared" ca="1" si="36"/>
        <v>12854.297355461271</v>
      </c>
      <c r="Q102" s="3">
        <f t="shared" ca="1" si="37"/>
        <v>18327.214078815734</v>
      </c>
      <c r="R102" s="3">
        <f t="shared" ca="1" si="38"/>
        <v>59532.767608891605</v>
      </c>
      <c r="S102" s="3">
        <f t="shared" ca="1" si="39"/>
        <v>379662.90075103869</v>
      </c>
      <c r="T102" s="3">
        <f t="shared" ca="1" si="40"/>
        <v>174758.42978026209</v>
      </c>
      <c r="U102" s="5">
        <f t="shared" ca="1" si="41"/>
        <v>204904.4709707766</v>
      </c>
    </row>
    <row r="103" spans="1:21" x14ac:dyDescent="0.35">
      <c r="A103">
        <f t="shared" ca="1" si="23"/>
        <v>1</v>
      </c>
      <c r="B103" s="4" t="str">
        <f t="shared" ca="1" si="21"/>
        <v>M</v>
      </c>
      <c r="C103" s="3">
        <f t="shared" ca="1" si="24"/>
        <v>3</v>
      </c>
      <c r="D103" s="3">
        <f t="shared" ca="1" si="22"/>
        <v>30</v>
      </c>
      <c r="E103" s="3" t="str">
        <f t="shared" ca="1" si="25"/>
        <v>IT</v>
      </c>
      <c r="F103" s="3">
        <f t="shared" ca="1" si="26"/>
        <v>5</v>
      </c>
      <c r="G103" s="3" t="str">
        <f t="shared" ca="1" si="27"/>
        <v>Diploma</v>
      </c>
      <c r="H103" s="3">
        <f t="shared" ca="1" si="28"/>
        <v>4</v>
      </c>
      <c r="I103" s="3">
        <f t="shared" ca="1" si="29"/>
        <v>3</v>
      </c>
      <c r="J103" s="3">
        <f t="shared" ca="1" si="30"/>
        <v>25</v>
      </c>
      <c r="K103" s="3" t="str">
        <f t="shared" ca="1" si="31"/>
        <v>Telangana</v>
      </c>
      <c r="L103" s="3">
        <f t="shared" ca="1" si="32"/>
        <v>35819</v>
      </c>
      <c r="M103" s="3">
        <f t="shared" ca="1" si="33"/>
        <v>250733</v>
      </c>
      <c r="N103" s="3">
        <f t="shared" ca="1" si="34"/>
        <v>10824.15966873483</v>
      </c>
      <c r="O103" s="3">
        <f t="shared" ca="1" si="35"/>
        <v>76629.803743309691</v>
      </c>
      <c r="P103" s="3">
        <f t="shared" ca="1" si="36"/>
        <v>41903.05011711581</v>
      </c>
      <c r="Q103" s="3">
        <f t="shared" ca="1" si="37"/>
        <v>1186.1914094042679</v>
      </c>
      <c r="R103" s="3">
        <f t="shared" ca="1" si="38"/>
        <v>1646.0350705339208</v>
      </c>
      <c r="S103" s="3">
        <f t="shared" ca="1" si="39"/>
        <v>329008.83881384361</v>
      </c>
      <c r="T103" s="3">
        <f t="shared" ca="1" si="40"/>
        <v>53913.401195254904</v>
      </c>
      <c r="U103" s="5">
        <f t="shared" ca="1" si="41"/>
        <v>275095.43761858868</v>
      </c>
    </row>
    <row r="104" spans="1:21" x14ac:dyDescent="0.35">
      <c r="A104">
        <f t="shared" ca="1" si="23"/>
        <v>1</v>
      </c>
      <c r="B104" s="4" t="str">
        <f t="shared" ca="1" si="21"/>
        <v>M</v>
      </c>
      <c r="C104" s="3">
        <f t="shared" ca="1" si="24"/>
        <v>7</v>
      </c>
      <c r="D104" s="3">
        <f t="shared" ca="1" si="22"/>
        <v>45</v>
      </c>
      <c r="E104" s="3" t="str">
        <f t="shared" ca="1" si="25"/>
        <v>Other</v>
      </c>
      <c r="F104" s="3">
        <f t="shared" ca="1" si="26"/>
        <v>1</v>
      </c>
      <c r="G104" s="3" t="str">
        <f t="shared" ca="1" si="27"/>
        <v>Secondary</v>
      </c>
      <c r="H104" s="3">
        <f t="shared" ca="1" si="28"/>
        <v>0</v>
      </c>
      <c r="I104" s="3">
        <f t="shared" ca="1" si="29"/>
        <v>3</v>
      </c>
      <c r="J104" s="3">
        <f t="shared" ca="1" si="30"/>
        <v>13</v>
      </c>
      <c r="K104" s="3" t="str">
        <f t="shared" ca="1" si="31"/>
        <v>Jharkhand</v>
      </c>
      <c r="L104" s="3">
        <f t="shared" ca="1" si="32"/>
        <v>82177</v>
      </c>
      <c r="M104" s="3">
        <f t="shared" ca="1" si="33"/>
        <v>739593</v>
      </c>
      <c r="N104" s="3">
        <f t="shared" ca="1" si="34"/>
        <v>485197.35524919239</v>
      </c>
      <c r="O104" s="3">
        <f t="shared" ca="1" si="35"/>
        <v>37454.288571073062</v>
      </c>
      <c r="P104" s="3">
        <f t="shared" ca="1" si="36"/>
        <v>24594.329686902722</v>
      </c>
      <c r="Q104" s="3">
        <f t="shared" ca="1" si="37"/>
        <v>447.1230204228404</v>
      </c>
      <c r="R104" s="3">
        <f t="shared" ca="1" si="38"/>
        <v>12339.146354860342</v>
      </c>
      <c r="S104" s="3">
        <f t="shared" ca="1" si="39"/>
        <v>789386.43492593348</v>
      </c>
      <c r="T104" s="3">
        <f t="shared" ca="1" si="40"/>
        <v>510238.80795651791</v>
      </c>
      <c r="U104" s="5">
        <f t="shared" ca="1" si="41"/>
        <v>279147.62696941558</v>
      </c>
    </row>
    <row r="105" spans="1:21" x14ac:dyDescent="0.35">
      <c r="A105">
        <f t="shared" ca="1" si="23"/>
        <v>2</v>
      </c>
      <c r="B105" s="4" t="str">
        <f t="shared" ca="1" si="21"/>
        <v>F</v>
      </c>
      <c r="C105" s="3">
        <f t="shared" ca="1" si="24"/>
        <v>4</v>
      </c>
      <c r="D105" s="3">
        <f t="shared" ca="1" si="22"/>
        <v>36</v>
      </c>
      <c r="E105" s="3" t="str">
        <f t="shared" ca="1" si="25"/>
        <v>Accounting</v>
      </c>
      <c r="F105" s="3">
        <f t="shared" ca="1" si="26"/>
        <v>2</v>
      </c>
      <c r="G105" s="3" t="str">
        <f t="shared" ca="1" si="27"/>
        <v>Senior Secondary</v>
      </c>
      <c r="H105" s="3">
        <f t="shared" ca="1" si="28"/>
        <v>4</v>
      </c>
      <c r="I105" s="3">
        <f t="shared" ca="1" si="29"/>
        <v>0</v>
      </c>
      <c r="J105" s="3">
        <f t="shared" ca="1" si="30"/>
        <v>26</v>
      </c>
      <c r="K105" s="3" t="str">
        <f t="shared" ca="1" si="31"/>
        <v>Tripura</v>
      </c>
      <c r="L105" s="3">
        <f t="shared" ca="1" si="32"/>
        <v>97640</v>
      </c>
      <c r="M105" s="3">
        <f t="shared" ca="1" si="33"/>
        <v>781120</v>
      </c>
      <c r="N105" s="3">
        <f t="shared" ca="1" si="34"/>
        <v>159747.00802008246</v>
      </c>
      <c r="O105" s="3">
        <f t="shared" ca="1" si="35"/>
        <v>0</v>
      </c>
      <c r="P105" s="3">
        <f t="shared" ca="1" si="36"/>
        <v>0</v>
      </c>
      <c r="Q105" s="3">
        <f t="shared" ca="1" si="37"/>
        <v>30781.447274839615</v>
      </c>
      <c r="R105" s="3">
        <f t="shared" ca="1" si="38"/>
        <v>37056.424987881117</v>
      </c>
      <c r="S105" s="3">
        <f t="shared" ca="1" si="39"/>
        <v>818176.4249878811</v>
      </c>
      <c r="T105" s="3">
        <f t="shared" ca="1" si="40"/>
        <v>190528.45529492208</v>
      </c>
      <c r="U105" s="5">
        <f t="shared" ca="1" si="41"/>
        <v>627647.96969295898</v>
      </c>
    </row>
    <row r="106" spans="1:21" x14ac:dyDescent="0.35">
      <c r="A106">
        <f t="shared" ca="1" si="23"/>
        <v>2</v>
      </c>
      <c r="B106" s="4" t="str">
        <f t="shared" ca="1" si="21"/>
        <v>F</v>
      </c>
      <c r="C106" s="3">
        <f t="shared" ca="1" si="24"/>
        <v>1</v>
      </c>
      <c r="D106" s="3">
        <f t="shared" ca="1" si="22"/>
        <v>27</v>
      </c>
      <c r="E106" s="3" t="str">
        <f t="shared" ca="1" si="25"/>
        <v>Engineering</v>
      </c>
      <c r="F106" s="3">
        <f t="shared" ca="1" si="26"/>
        <v>6</v>
      </c>
      <c r="G106" s="3" t="str">
        <f t="shared" ca="1" si="27"/>
        <v>Doctorate</v>
      </c>
      <c r="H106" s="3">
        <f t="shared" ca="1" si="28"/>
        <v>1</v>
      </c>
      <c r="I106" s="3">
        <f t="shared" ca="1" si="29"/>
        <v>3</v>
      </c>
      <c r="J106" s="3">
        <f t="shared" ca="1" si="30"/>
        <v>28</v>
      </c>
      <c r="K106" s="3" t="str">
        <f t="shared" ca="1" si="31"/>
        <v>West Bengal</v>
      </c>
      <c r="L106" s="3">
        <f t="shared" ca="1" si="32"/>
        <v>42177</v>
      </c>
      <c r="M106" s="3">
        <f t="shared" ca="1" si="33"/>
        <v>379593</v>
      </c>
      <c r="N106" s="3">
        <f t="shared" ca="1" si="34"/>
        <v>150889.46781161716</v>
      </c>
      <c r="O106" s="3">
        <f t="shared" ca="1" si="35"/>
        <v>28212.395992678419</v>
      </c>
      <c r="P106" s="3">
        <f t="shared" ca="1" si="36"/>
        <v>20873.061207039911</v>
      </c>
      <c r="Q106" s="3">
        <f t="shared" ca="1" si="37"/>
        <v>39520.845197921823</v>
      </c>
      <c r="R106" s="3">
        <f t="shared" ca="1" si="38"/>
        <v>39879.802597426125</v>
      </c>
      <c r="S106" s="3">
        <f t="shared" ca="1" si="39"/>
        <v>447685.19859010453</v>
      </c>
      <c r="T106" s="3">
        <f t="shared" ca="1" si="40"/>
        <v>211283.3742165789</v>
      </c>
      <c r="U106" s="5">
        <f t="shared" ca="1" si="41"/>
        <v>236401.82437352563</v>
      </c>
    </row>
    <row r="107" spans="1:21" x14ac:dyDescent="0.35">
      <c r="A107">
        <f t="shared" ca="1" si="23"/>
        <v>2</v>
      </c>
      <c r="B107" s="4" t="str">
        <f t="shared" ca="1" si="21"/>
        <v>F</v>
      </c>
      <c r="C107" s="3">
        <f t="shared" ca="1" si="24"/>
        <v>6</v>
      </c>
      <c r="D107" s="3">
        <f t="shared" ca="1" si="22"/>
        <v>44</v>
      </c>
      <c r="E107" s="3" t="str">
        <f t="shared" ca="1" si="25"/>
        <v>Art</v>
      </c>
      <c r="F107" s="3">
        <f t="shared" ca="1" si="26"/>
        <v>4</v>
      </c>
      <c r="G107" s="3" t="str">
        <f t="shared" ca="1" si="27"/>
        <v>PG</v>
      </c>
      <c r="H107" s="3">
        <f t="shared" ca="1" si="28"/>
        <v>1</v>
      </c>
      <c r="I107" s="3">
        <f t="shared" ca="1" si="29"/>
        <v>1</v>
      </c>
      <c r="J107" s="3">
        <f t="shared" ca="1" si="30"/>
        <v>1</v>
      </c>
      <c r="K107" s="3" t="str">
        <f t="shared" ca="1" si="31"/>
        <v>Haryana</v>
      </c>
      <c r="L107" s="3">
        <f t="shared" ca="1" si="32"/>
        <v>77767</v>
      </c>
      <c r="M107" s="3">
        <f t="shared" ca="1" si="33"/>
        <v>699903</v>
      </c>
      <c r="N107" s="3">
        <f t="shared" ca="1" si="34"/>
        <v>22168.291977399549</v>
      </c>
      <c r="O107" s="3">
        <f t="shared" ca="1" si="35"/>
        <v>7164.3120291508658</v>
      </c>
      <c r="P107" s="3">
        <f t="shared" ca="1" si="36"/>
        <v>3339.230667595587</v>
      </c>
      <c r="Q107" s="3">
        <f t="shared" ca="1" si="37"/>
        <v>29715.973423635885</v>
      </c>
      <c r="R107" s="3">
        <f t="shared" ca="1" si="38"/>
        <v>64172.180487005528</v>
      </c>
      <c r="S107" s="3">
        <f t="shared" ca="1" si="39"/>
        <v>771239.4925161564</v>
      </c>
      <c r="T107" s="3">
        <f t="shared" ca="1" si="40"/>
        <v>55223.496068631022</v>
      </c>
      <c r="U107" s="5">
        <f t="shared" ca="1" si="41"/>
        <v>716015.99644752534</v>
      </c>
    </row>
    <row r="108" spans="1:21" x14ac:dyDescent="0.35">
      <c r="A108">
        <f t="shared" ca="1" si="23"/>
        <v>1</v>
      </c>
      <c r="B108" s="4" t="str">
        <f t="shared" ca="1" si="21"/>
        <v>M</v>
      </c>
      <c r="C108" s="3">
        <f t="shared" ca="1" si="24"/>
        <v>5</v>
      </c>
      <c r="D108" s="3">
        <f t="shared" ca="1" si="22"/>
        <v>25</v>
      </c>
      <c r="E108" s="3" t="str">
        <f t="shared" ca="1" si="25"/>
        <v>Research</v>
      </c>
      <c r="F108" s="3">
        <f t="shared" ca="1" si="26"/>
        <v>5</v>
      </c>
      <c r="G108" s="3" t="str">
        <f t="shared" ca="1" si="27"/>
        <v>Diploma</v>
      </c>
      <c r="H108" s="3">
        <f t="shared" ca="1" si="28"/>
        <v>0</v>
      </c>
      <c r="I108" s="3">
        <f t="shared" ca="1" si="29"/>
        <v>0</v>
      </c>
      <c r="J108" s="3">
        <f t="shared" ca="1" si="30"/>
        <v>26</v>
      </c>
      <c r="K108" s="3" t="str">
        <f t="shared" ca="1" si="31"/>
        <v>Tripura</v>
      </c>
      <c r="L108" s="3">
        <f t="shared" ca="1" si="32"/>
        <v>58654</v>
      </c>
      <c r="M108" s="3">
        <f t="shared" ca="1" si="33"/>
        <v>410578</v>
      </c>
      <c r="N108" s="3">
        <f t="shared" ca="1" si="34"/>
        <v>196737.47058880818</v>
      </c>
      <c r="O108" s="3">
        <f t="shared" ca="1" si="35"/>
        <v>0</v>
      </c>
      <c r="P108" s="3">
        <f t="shared" ca="1" si="36"/>
        <v>0</v>
      </c>
      <c r="Q108" s="3">
        <f t="shared" ca="1" si="37"/>
        <v>27913.762914498493</v>
      </c>
      <c r="R108" s="3">
        <f t="shared" ca="1" si="38"/>
        <v>55916.332610859252</v>
      </c>
      <c r="S108" s="3">
        <f t="shared" ca="1" si="39"/>
        <v>466494.33261085924</v>
      </c>
      <c r="T108" s="3">
        <f t="shared" ca="1" si="40"/>
        <v>224651.23350330666</v>
      </c>
      <c r="U108" s="5">
        <f t="shared" ca="1" si="41"/>
        <v>241843.09910755258</v>
      </c>
    </row>
    <row r="109" spans="1:21" x14ac:dyDescent="0.35">
      <c r="A109">
        <f t="shared" ca="1" si="23"/>
        <v>1</v>
      </c>
      <c r="B109" s="4" t="str">
        <f t="shared" ca="1" si="21"/>
        <v>M</v>
      </c>
      <c r="C109" s="3">
        <f t="shared" ca="1" si="24"/>
        <v>1</v>
      </c>
      <c r="D109" s="3">
        <f t="shared" ca="1" si="22"/>
        <v>34</v>
      </c>
      <c r="E109" s="3" t="str">
        <f t="shared" ca="1" si="25"/>
        <v>Engineering</v>
      </c>
      <c r="F109" s="3">
        <f t="shared" ca="1" si="26"/>
        <v>7</v>
      </c>
      <c r="G109" s="3" t="str">
        <f t="shared" ca="1" si="27"/>
        <v>Other</v>
      </c>
      <c r="H109" s="3">
        <f t="shared" ca="1" si="28"/>
        <v>1</v>
      </c>
      <c r="I109" s="3">
        <f t="shared" ca="1" si="29"/>
        <v>0</v>
      </c>
      <c r="J109" s="3">
        <f t="shared" ca="1" si="30"/>
        <v>15</v>
      </c>
      <c r="K109" s="3" t="str">
        <f t="shared" ca="1" si="31"/>
        <v>Kerela</v>
      </c>
      <c r="L109" s="3">
        <f t="shared" ca="1" si="32"/>
        <v>52936</v>
      </c>
      <c r="M109" s="3">
        <f t="shared" ca="1" si="33"/>
        <v>370552</v>
      </c>
      <c r="N109" s="3">
        <f t="shared" ca="1" si="34"/>
        <v>174558.58012267275</v>
      </c>
      <c r="O109" s="3">
        <f t="shared" ca="1" si="35"/>
        <v>0</v>
      </c>
      <c r="P109" s="3">
        <f t="shared" ca="1" si="36"/>
        <v>0</v>
      </c>
      <c r="Q109" s="3">
        <f t="shared" ca="1" si="37"/>
        <v>48017.013609134417</v>
      </c>
      <c r="R109" s="3">
        <f t="shared" ca="1" si="38"/>
        <v>21596.310104865413</v>
      </c>
      <c r="S109" s="3">
        <f t="shared" ca="1" si="39"/>
        <v>392148.31010486541</v>
      </c>
      <c r="T109" s="3">
        <f t="shared" ca="1" si="40"/>
        <v>222575.59373180717</v>
      </c>
      <c r="U109" s="5">
        <f t="shared" ca="1" si="41"/>
        <v>169572.71637305824</v>
      </c>
    </row>
    <row r="110" spans="1:21" x14ac:dyDescent="0.35">
      <c r="A110">
        <f t="shared" ca="1" si="23"/>
        <v>2</v>
      </c>
      <c r="B110" s="4" t="str">
        <f t="shared" ca="1" si="21"/>
        <v>F</v>
      </c>
      <c r="C110" s="3">
        <f t="shared" ca="1" si="24"/>
        <v>2</v>
      </c>
      <c r="D110" s="3">
        <f t="shared" ca="1" si="22"/>
        <v>21</v>
      </c>
      <c r="E110" s="3" t="str">
        <f t="shared" ca="1" si="25"/>
        <v>Healthcare</v>
      </c>
      <c r="F110" s="3">
        <f t="shared" ca="1" si="26"/>
        <v>3</v>
      </c>
      <c r="G110" s="3" t="str">
        <f t="shared" ca="1" si="27"/>
        <v>UG</v>
      </c>
      <c r="H110" s="3">
        <f t="shared" ca="1" si="28"/>
        <v>1</v>
      </c>
      <c r="I110" s="3">
        <f t="shared" ca="1" si="29"/>
        <v>0</v>
      </c>
      <c r="J110" s="3">
        <f t="shared" ca="1" si="30"/>
        <v>22</v>
      </c>
      <c r="K110" s="3" t="str">
        <f t="shared" ca="1" si="31"/>
        <v>Rajasthan</v>
      </c>
      <c r="L110" s="3">
        <f t="shared" ca="1" si="32"/>
        <v>84030</v>
      </c>
      <c r="M110" s="3">
        <f t="shared" ca="1" si="33"/>
        <v>672240</v>
      </c>
      <c r="N110" s="3">
        <f t="shared" ca="1" si="34"/>
        <v>436624.99487909378</v>
      </c>
      <c r="O110" s="3">
        <f t="shared" ca="1" si="35"/>
        <v>0</v>
      </c>
      <c r="P110" s="3">
        <f t="shared" ca="1" si="36"/>
        <v>0</v>
      </c>
      <c r="Q110" s="3">
        <f t="shared" ca="1" si="37"/>
        <v>18238.625277385738</v>
      </c>
      <c r="R110" s="3">
        <f t="shared" ca="1" si="38"/>
        <v>45137.13986957421</v>
      </c>
      <c r="S110" s="3">
        <f t="shared" ca="1" si="39"/>
        <v>717377.13986957422</v>
      </c>
      <c r="T110" s="3">
        <f t="shared" ca="1" si="40"/>
        <v>454863.62015647953</v>
      </c>
      <c r="U110" s="5">
        <f t="shared" ca="1" si="41"/>
        <v>262513.51971309469</v>
      </c>
    </row>
    <row r="111" spans="1:21" x14ac:dyDescent="0.35">
      <c r="A111">
        <f t="shared" ca="1" si="23"/>
        <v>2</v>
      </c>
      <c r="B111" s="4" t="str">
        <f t="shared" ca="1" si="21"/>
        <v>F</v>
      </c>
      <c r="C111" s="3">
        <f t="shared" ca="1" si="24"/>
        <v>5</v>
      </c>
      <c r="D111" s="3">
        <f t="shared" ca="1" si="22"/>
        <v>34</v>
      </c>
      <c r="E111" s="3" t="str">
        <f t="shared" ca="1" si="25"/>
        <v>Research</v>
      </c>
      <c r="F111" s="3">
        <f t="shared" ca="1" si="26"/>
        <v>6</v>
      </c>
      <c r="G111" s="3" t="str">
        <f t="shared" ca="1" si="27"/>
        <v>Doctorate</v>
      </c>
      <c r="H111" s="3">
        <f t="shared" ca="1" si="28"/>
        <v>4</v>
      </c>
      <c r="I111" s="3">
        <f t="shared" ca="1" si="29"/>
        <v>0</v>
      </c>
      <c r="J111" s="3">
        <f t="shared" ca="1" si="30"/>
        <v>7</v>
      </c>
      <c r="K111" s="3" t="str">
        <f t="shared" ca="1" si="31"/>
        <v>Assam</v>
      </c>
      <c r="L111" s="3">
        <f t="shared" ca="1" si="32"/>
        <v>93993</v>
      </c>
      <c r="M111" s="3">
        <f t="shared" ca="1" si="33"/>
        <v>751944</v>
      </c>
      <c r="N111" s="3">
        <f t="shared" ca="1" si="34"/>
        <v>427598.35628335812</v>
      </c>
      <c r="O111" s="3">
        <f t="shared" ca="1" si="35"/>
        <v>0</v>
      </c>
      <c r="P111" s="3">
        <f t="shared" ca="1" si="36"/>
        <v>0</v>
      </c>
      <c r="Q111" s="3">
        <f t="shared" ca="1" si="37"/>
        <v>14462.352326900325</v>
      </c>
      <c r="R111" s="3">
        <f t="shared" ca="1" si="38"/>
        <v>76472.559482974975</v>
      </c>
      <c r="S111" s="3">
        <f t="shared" ca="1" si="39"/>
        <v>828416.55948297493</v>
      </c>
      <c r="T111" s="3">
        <f t="shared" ca="1" si="40"/>
        <v>442060.70861025847</v>
      </c>
      <c r="U111" s="5">
        <f t="shared" ca="1" si="41"/>
        <v>386355.85087271646</v>
      </c>
    </row>
    <row r="112" spans="1:21" x14ac:dyDescent="0.35">
      <c r="A112">
        <f t="shared" ca="1" si="23"/>
        <v>2</v>
      </c>
      <c r="B112" s="4" t="str">
        <f t="shared" ca="1" si="21"/>
        <v>F</v>
      </c>
      <c r="C112" s="3">
        <f t="shared" ca="1" si="24"/>
        <v>7</v>
      </c>
      <c r="D112" s="3">
        <f t="shared" ca="1" si="22"/>
        <v>42</v>
      </c>
      <c r="E112" s="3" t="str">
        <f t="shared" ca="1" si="25"/>
        <v>Other</v>
      </c>
      <c r="F112" s="3">
        <f t="shared" ca="1" si="26"/>
        <v>3</v>
      </c>
      <c r="G112" s="3" t="str">
        <f t="shared" ca="1" si="27"/>
        <v>UG</v>
      </c>
      <c r="H112" s="3">
        <f t="shared" ca="1" si="28"/>
        <v>4</v>
      </c>
      <c r="I112" s="3">
        <f t="shared" ca="1" si="29"/>
        <v>2</v>
      </c>
      <c r="J112" s="3">
        <f t="shared" ca="1" si="30"/>
        <v>21</v>
      </c>
      <c r="K112" s="3" t="str">
        <f t="shared" ca="1" si="31"/>
        <v>Odisha</v>
      </c>
      <c r="L112" s="3">
        <f t="shared" ca="1" si="32"/>
        <v>53271</v>
      </c>
      <c r="M112" s="3">
        <f t="shared" ca="1" si="33"/>
        <v>479439</v>
      </c>
      <c r="N112" s="3">
        <f t="shared" ca="1" si="34"/>
        <v>452637.09808644163</v>
      </c>
      <c r="O112" s="3">
        <f t="shared" ca="1" si="35"/>
        <v>93748.663666905617</v>
      </c>
      <c r="P112" s="3">
        <f t="shared" ca="1" si="36"/>
        <v>57706.942999269013</v>
      </c>
      <c r="Q112" s="3">
        <f t="shared" ca="1" si="37"/>
        <v>624.77176983600896</v>
      </c>
      <c r="R112" s="3">
        <f t="shared" ca="1" si="38"/>
        <v>34277.48614953865</v>
      </c>
      <c r="S112" s="3">
        <f t="shared" ca="1" si="39"/>
        <v>607465.14981644426</v>
      </c>
      <c r="T112" s="3">
        <f t="shared" ca="1" si="40"/>
        <v>510968.81285554665</v>
      </c>
      <c r="U112" s="5">
        <f t="shared" ca="1" si="41"/>
        <v>96496.336960897606</v>
      </c>
    </row>
    <row r="113" spans="1:21" x14ac:dyDescent="0.35">
      <c r="A113">
        <f t="shared" ca="1" si="23"/>
        <v>1</v>
      </c>
      <c r="B113" s="4" t="str">
        <f t="shared" ca="1" si="21"/>
        <v>M</v>
      </c>
      <c r="C113" s="3">
        <f t="shared" ca="1" si="24"/>
        <v>2</v>
      </c>
      <c r="D113" s="3">
        <f t="shared" ca="1" si="22"/>
        <v>33</v>
      </c>
      <c r="E113" s="3" t="str">
        <f t="shared" ca="1" si="25"/>
        <v>Healthcare</v>
      </c>
      <c r="F113" s="3">
        <f t="shared" ca="1" si="26"/>
        <v>1</v>
      </c>
      <c r="G113" s="3" t="str">
        <f t="shared" ca="1" si="27"/>
        <v>Secondary</v>
      </c>
      <c r="H113" s="3">
        <f t="shared" ca="1" si="28"/>
        <v>4</v>
      </c>
      <c r="I113" s="3">
        <f t="shared" ca="1" si="29"/>
        <v>0</v>
      </c>
      <c r="J113" s="3">
        <f t="shared" ca="1" si="30"/>
        <v>24</v>
      </c>
      <c r="K113" s="3" t="str">
        <f t="shared" ca="1" si="31"/>
        <v>Tamil Nadu</v>
      </c>
      <c r="L113" s="3">
        <f t="shared" ca="1" si="32"/>
        <v>35899</v>
      </c>
      <c r="M113" s="3">
        <f t="shared" ca="1" si="33"/>
        <v>215394</v>
      </c>
      <c r="N113" s="3">
        <f t="shared" ca="1" si="34"/>
        <v>34824.667991245602</v>
      </c>
      <c r="O113" s="3">
        <f t="shared" ca="1" si="35"/>
        <v>0</v>
      </c>
      <c r="P113" s="3">
        <f t="shared" ca="1" si="36"/>
        <v>0</v>
      </c>
      <c r="Q113" s="3">
        <f t="shared" ca="1" si="37"/>
        <v>34171.428070315742</v>
      </c>
      <c r="R113" s="3">
        <f t="shared" ca="1" si="38"/>
        <v>33210.703944609064</v>
      </c>
      <c r="S113" s="3">
        <f t="shared" ca="1" si="39"/>
        <v>248604.70394460906</v>
      </c>
      <c r="T113" s="3">
        <f t="shared" ca="1" si="40"/>
        <v>68996.096061561344</v>
      </c>
      <c r="U113" s="5">
        <f t="shared" ca="1" si="41"/>
        <v>179608.60788304772</v>
      </c>
    </row>
    <row r="114" spans="1:21" x14ac:dyDescent="0.35">
      <c r="A114">
        <f t="shared" ca="1" si="23"/>
        <v>2</v>
      </c>
      <c r="B114" s="4" t="str">
        <f t="shared" ca="1" si="21"/>
        <v>F</v>
      </c>
      <c r="C114" s="3">
        <f t="shared" ca="1" si="24"/>
        <v>5</v>
      </c>
      <c r="D114" s="3">
        <f t="shared" ca="1" si="22"/>
        <v>42</v>
      </c>
      <c r="E114" s="3" t="str">
        <f t="shared" ca="1" si="25"/>
        <v>Research</v>
      </c>
      <c r="F114" s="3">
        <f t="shared" ca="1" si="26"/>
        <v>2</v>
      </c>
      <c r="G114" s="3" t="str">
        <f t="shared" ca="1" si="27"/>
        <v>Senior Secondary</v>
      </c>
      <c r="H114" s="3">
        <f t="shared" ca="1" si="28"/>
        <v>2</v>
      </c>
      <c r="I114" s="3">
        <f t="shared" ca="1" si="29"/>
        <v>1</v>
      </c>
      <c r="J114" s="3">
        <f t="shared" ca="1" si="30"/>
        <v>25</v>
      </c>
      <c r="K114" s="3" t="str">
        <f t="shared" ca="1" si="31"/>
        <v>Telangana</v>
      </c>
      <c r="L114" s="3">
        <f t="shared" ca="1" si="32"/>
        <v>60361</v>
      </c>
      <c r="M114" s="3">
        <f t="shared" ca="1" si="33"/>
        <v>301805</v>
      </c>
      <c r="N114" s="3">
        <f t="shared" ca="1" si="34"/>
        <v>10471.39566479428</v>
      </c>
      <c r="O114" s="3">
        <f t="shared" ca="1" si="35"/>
        <v>33435.272136113133</v>
      </c>
      <c r="P114" s="3">
        <f t="shared" ca="1" si="36"/>
        <v>15853.21514103538</v>
      </c>
      <c r="Q114" s="3">
        <f t="shared" ca="1" si="37"/>
        <v>38880.633161233891</v>
      </c>
      <c r="R114" s="3">
        <f t="shared" ca="1" si="38"/>
        <v>12245.216638409182</v>
      </c>
      <c r="S114" s="3">
        <f t="shared" ca="1" si="39"/>
        <v>347485.48877452232</v>
      </c>
      <c r="T114" s="3">
        <f t="shared" ca="1" si="40"/>
        <v>65205.24396706355</v>
      </c>
      <c r="U114" s="5">
        <f t="shared" ca="1" si="41"/>
        <v>282280.24480745877</v>
      </c>
    </row>
    <row r="115" spans="1:21" x14ac:dyDescent="0.35">
      <c r="A115">
        <f t="shared" ca="1" si="23"/>
        <v>2</v>
      </c>
      <c r="B115" s="4" t="str">
        <f t="shared" ca="1" si="21"/>
        <v>F</v>
      </c>
      <c r="C115" s="3">
        <f t="shared" ca="1" si="24"/>
        <v>6</v>
      </c>
      <c r="D115" s="3">
        <f t="shared" ca="1" si="22"/>
        <v>38</v>
      </c>
      <c r="E115" s="3" t="str">
        <f t="shared" ca="1" si="25"/>
        <v>Art</v>
      </c>
      <c r="F115" s="3">
        <f t="shared" ca="1" si="26"/>
        <v>1</v>
      </c>
      <c r="G115" s="3" t="str">
        <f t="shared" ca="1" si="27"/>
        <v>Secondary</v>
      </c>
      <c r="H115" s="3">
        <f t="shared" ca="1" si="28"/>
        <v>4</v>
      </c>
      <c r="I115" s="3">
        <f t="shared" ca="1" si="29"/>
        <v>1</v>
      </c>
      <c r="J115" s="3">
        <f t="shared" ca="1" si="30"/>
        <v>26</v>
      </c>
      <c r="K115" s="3" t="str">
        <f t="shared" ca="1" si="31"/>
        <v>Tripura</v>
      </c>
      <c r="L115" s="3">
        <f t="shared" ca="1" si="32"/>
        <v>47207</v>
      </c>
      <c r="M115" s="3">
        <f t="shared" ca="1" si="33"/>
        <v>377656</v>
      </c>
      <c r="N115" s="3">
        <f t="shared" ca="1" si="34"/>
        <v>101625.39019004803</v>
      </c>
      <c r="O115" s="3">
        <f t="shared" ca="1" si="35"/>
        <v>25582.48933570287</v>
      </c>
      <c r="P115" s="3">
        <f t="shared" ca="1" si="36"/>
        <v>6765.0801095325223</v>
      </c>
      <c r="Q115" s="3">
        <f t="shared" ca="1" si="37"/>
        <v>29690.676528257314</v>
      </c>
      <c r="R115" s="3">
        <f t="shared" ca="1" si="38"/>
        <v>22157.589028120463</v>
      </c>
      <c r="S115" s="3">
        <f t="shared" ca="1" si="39"/>
        <v>425396.0783638233</v>
      </c>
      <c r="T115" s="3">
        <f t="shared" ca="1" si="40"/>
        <v>138081.14682783786</v>
      </c>
      <c r="U115" s="5">
        <f t="shared" ca="1" si="41"/>
        <v>287314.93153598544</v>
      </c>
    </row>
    <row r="116" spans="1:21" x14ac:dyDescent="0.35">
      <c r="A116">
        <f t="shared" ca="1" si="23"/>
        <v>1</v>
      </c>
      <c r="B116" s="4" t="str">
        <f t="shared" ca="1" si="21"/>
        <v>M</v>
      </c>
      <c r="C116" s="3">
        <f t="shared" ca="1" si="24"/>
        <v>7</v>
      </c>
      <c r="D116" s="3">
        <f t="shared" ca="1" si="22"/>
        <v>41</v>
      </c>
      <c r="E116" s="3" t="str">
        <f t="shared" ca="1" si="25"/>
        <v>Other</v>
      </c>
      <c r="F116" s="3">
        <f t="shared" ca="1" si="26"/>
        <v>1</v>
      </c>
      <c r="G116" s="3" t="str">
        <f t="shared" ca="1" si="27"/>
        <v>Secondary</v>
      </c>
      <c r="H116" s="3">
        <f t="shared" ca="1" si="28"/>
        <v>4</v>
      </c>
      <c r="I116" s="3">
        <f t="shared" ca="1" si="29"/>
        <v>2</v>
      </c>
      <c r="J116" s="3">
        <f t="shared" ca="1" si="30"/>
        <v>25</v>
      </c>
      <c r="K116" s="3" t="str">
        <f t="shared" ca="1" si="31"/>
        <v>Telangana</v>
      </c>
      <c r="L116" s="3">
        <f t="shared" ca="1" si="32"/>
        <v>35069</v>
      </c>
      <c r="M116" s="3">
        <f t="shared" ca="1" si="33"/>
        <v>315621</v>
      </c>
      <c r="N116" s="3">
        <f t="shared" ca="1" si="34"/>
        <v>48572.699582437301</v>
      </c>
      <c r="O116" s="3">
        <f t="shared" ca="1" si="35"/>
        <v>52758.229621141785</v>
      </c>
      <c r="P116" s="3">
        <f t="shared" ca="1" si="36"/>
        <v>5625.5058622847473</v>
      </c>
      <c r="Q116" s="3">
        <f t="shared" ca="1" si="37"/>
        <v>8573.5374013371402</v>
      </c>
      <c r="R116" s="3">
        <f t="shared" ca="1" si="38"/>
        <v>23682.133683157059</v>
      </c>
      <c r="S116" s="3">
        <f t="shared" ca="1" si="39"/>
        <v>392061.36330429884</v>
      </c>
      <c r="T116" s="3">
        <f t="shared" ca="1" si="40"/>
        <v>62771.742846059191</v>
      </c>
      <c r="U116" s="5">
        <f t="shared" ca="1" si="41"/>
        <v>329289.62045823963</v>
      </c>
    </row>
    <row r="117" spans="1:21" x14ac:dyDescent="0.35">
      <c r="A117">
        <f t="shared" ca="1" si="23"/>
        <v>1</v>
      </c>
      <c r="B117" s="4" t="str">
        <f t="shared" ca="1" si="21"/>
        <v>M</v>
      </c>
      <c r="C117" s="3">
        <f t="shared" ca="1" si="24"/>
        <v>6</v>
      </c>
      <c r="D117" s="3">
        <f t="shared" ca="1" si="22"/>
        <v>45</v>
      </c>
      <c r="E117" s="3" t="str">
        <f t="shared" ca="1" si="25"/>
        <v>Art</v>
      </c>
      <c r="F117" s="3">
        <f t="shared" ca="1" si="26"/>
        <v>1</v>
      </c>
      <c r="G117" s="3" t="str">
        <f t="shared" ca="1" si="27"/>
        <v>Secondary</v>
      </c>
      <c r="H117" s="3">
        <f t="shared" ca="1" si="28"/>
        <v>1</v>
      </c>
      <c r="I117" s="3">
        <f t="shared" ca="1" si="29"/>
        <v>2</v>
      </c>
      <c r="J117" s="3">
        <f t="shared" ca="1" si="30"/>
        <v>23</v>
      </c>
      <c r="K117" s="3" t="str">
        <f t="shared" ca="1" si="31"/>
        <v>Sikkim</v>
      </c>
      <c r="L117" s="3">
        <f t="shared" ca="1" si="32"/>
        <v>73197</v>
      </c>
      <c r="M117" s="3">
        <f t="shared" ca="1" si="33"/>
        <v>512379</v>
      </c>
      <c r="N117" s="3">
        <f t="shared" ca="1" si="34"/>
        <v>433556.49137243355</v>
      </c>
      <c r="O117" s="3">
        <f t="shared" ca="1" si="35"/>
        <v>56117.167596090003</v>
      </c>
      <c r="P117" s="3">
        <f t="shared" ca="1" si="36"/>
        <v>3098.0873110450098</v>
      </c>
      <c r="Q117" s="3">
        <f t="shared" ca="1" si="37"/>
        <v>1537.3067920544286</v>
      </c>
      <c r="R117" s="3">
        <f t="shared" ca="1" si="38"/>
        <v>11171.177241613208</v>
      </c>
      <c r="S117" s="3">
        <f t="shared" ca="1" si="39"/>
        <v>579667.34483770316</v>
      </c>
      <c r="T117" s="3">
        <f t="shared" ca="1" si="40"/>
        <v>438191.88547553302</v>
      </c>
      <c r="U117" s="5">
        <f t="shared" ca="1" si="41"/>
        <v>141475.45936217014</v>
      </c>
    </row>
    <row r="118" spans="1:21" x14ac:dyDescent="0.35">
      <c r="A118">
        <f t="shared" ca="1" si="23"/>
        <v>2</v>
      </c>
      <c r="B118" s="4" t="str">
        <f t="shared" ca="1" si="21"/>
        <v>F</v>
      </c>
      <c r="C118" s="3">
        <f t="shared" ca="1" si="24"/>
        <v>6</v>
      </c>
      <c r="D118" s="3">
        <f t="shared" ca="1" si="22"/>
        <v>38</v>
      </c>
      <c r="E118" s="3" t="str">
        <f t="shared" ca="1" si="25"/>
        <v>Art</v>
      </c>
      <c r="F118" s="3">
        <f t="shared" ca="1" si="26"/>
        <v>4</v>
      </c>
      <c r="G118" s="3" t="str">
        <f t="shared" ca="1" si="27"/>
        <v>PG</v>
      </c>
      <c r="H118" s="3">
        <f t="shared" ca="1" si="28"/>
        <v>3</v>
      </c>
      <c r="I118" s="3">
        <f t="shared" ca="1" si="29"/>
        <v>1</v>
      </c>
      <c r="J118" s="3">
        <f t="shared" ca="1" si="30"/>
        <v>15</v>
      </c>
      <c r="K118" s="3" t="str">
        <f t="shared" ca="1" si="31"/>
        <v>Kerela</v>
      </c>
      <c r="L118" s="3">
        <f t="shared" ca="1" si="32"/>
        <v>31969</v>
      </c>
      <c r="M118" s="3">
        <f t="shared" ca="1" si="33"/>
        <v>255752</v>
      </c>
      <c r="N118" s="3">
        <f t="shared" ca="1" si="34"/>
        <v>250399.82276799949</v>
      </c>
      <c r="O118" s="3">
        <f t="shared" ca="1" si="35"/>
        <v>24015.156707836355</v>
      </c>
      <c r="P118" s="3">
        <f t="shared" ca="1" si="36"/>
        <v>12475.6004497637</v>
      </c>
      <c r="Q118" s="3">
        <f t="shared" ca="1" si="37"/>
        <v>18028.163102055663</v>
      </c>
      <c r="R118" s="3">
        <f t="shared" ca="1" si="38"/>
        <v>4221.7579958588976</v>
      </c>
      <c r="S118" s="3">
        <f t="shared" ca="1" si="39"/>
        <v>283988.91470369528</v>
      </c>
      <c r="T118" s="3">
        <f t="shared" ca="1" si="40"/>
        <v>280903.58631981886</v>
      </c>
      <c r="U118" s="5">
        <f t="shared" ca="1" si="41"/>
        <v>3085.3283838764182</v>
      </c>
    </row>
    <row r="119" spans="1:21" x14ac:dyDescent="0.35">
      <c r="A119">
        <f t="shared" ca="1" si="23"/>
        <v>2</v>
      </c>
      <c r="B119" s="4" t="str">
        <f t="shared" ca="1" si="21"/>
        <v>F</v>
      </c>
      <c r="C119" s="3">
        <f t="shared" ca="1" si="24"/>
        <v>2</v>
      </c>
      <c r="D119" s="3">
        <f t="shared" ca="1" si="22"/>
        <v>19</v>
      </c>
      <c r="E119" s="3" t="str">
        <f t="shared" ca="1" si="25"/>
        <v>Healthcare</v>
      </c>
      <c r="F119" s="3">
        <f t="shared" ca="1" si="26"/>
        <v>2</v>
      </c>
      <c r="G119" s="3" t="str">
        <f t="shared" ca="1" si="27"/>
        <v>Senior Secondary</v>
      </c>
      <c r="H119" s="3">
        <f t="shared" ca="1" si="28"/>
        <v>4</v>
      </c>
      <c r="I119" s="3">
        <f t="shared" ca="1" si="29"/>
        <v>0</v>
      </c>
      <c r="J119" s="3">
        <f t="shared" ca="1" si="30"/>
        <v>21</v>
      </c>
      <c r="K119" s="3" t="str">
        <f t="shared" ca="1" si="31"/>
        <v>Odisha</v>
      </c>
      <c r="L119" s="3">
        <f t="shared" ca="1" si="32"/>
        <v>85018</v>
      </c>
      <c r="M119" s="3">
        <f t="shared" ca="1" si="33"/>
        <v>595126</v>
      </c>
      <c r="N119" s="3">
        <f t="shared" ca="1" si="34"/>
        <v>262048.53931536945</v>
      </c>
      <c r="O119" s="3">
        <f t="shared" ca="1" si="35"/>
        <v>0</v>
      </c>
      <c r="P119" s="3">
        <f t="shared" ca="1" si="36"/>
        <v>0</v>
      </c>
      <c r="Q119" s="3">
        <f t="shared" ca="1" si="37"/>
        <v>12071.371686214681</v>
      </c>
      <c r="R119" s="3">
        <f t="shared" ca="1" si="38"/>
        <v>58583.210666106264</v>
      </c>
      <c r="S119" s="3">
        <f t="shared" ca="1" si="39"/>
        <v>653709.21066610632</v>
      </c>
      <c r="T119" s="3">
        <f t="shared" ca="1" si="40"/>
        <v>274119.91100158414</v>
      </c>
      <c r="U119" s="5">
        <f t="shared" ca="1" si="41"/>
        <v>379589.29966452217</v>
      </c>
    </row>
    <row r="120" spans="1:21" x14ac:dyDescent="0.35">
      <c r="A120">
        <f t="shared" ca="1" si="23"/>
        <v>2</v>
      </c>
      <c r="B120" s="4" t="str">
        <f t="shared" ca="1" si="21"/>
        <v>F</v>
      </c>
      <c r="C120" s="3">
        <f t="shared" ca="1" si="24"/>
        <v>3</v>
      </c>
      <c r="D120" s="3">
        <f t="shared" ca="1" si="22"/>
        <v>23</v>
      </c>
      <c r="E120" s="3" t="str">
        <f t="shared" ca="1" si="25"/>
        <v>IT</v>
      </c>
      <c r="F120" s="3">
        <f t="shared" ca="1" si="26"/>
        <v>4</v>
      </c>
      <c r="G120" s="3" t="str">
        <f t="shared" ca="1" si="27"/>
        <v>PG</v>
      </c>
      <c r="H120" s="3">
        <f t="shared" ca="1" si="28"/>
        <v>3</v>
      </c>
      <c r="I120" s="3">
        <f t="shared" ca="1" si="29"/>
        <v>1</v>
      </c>
      <c r="J120" s="3">
        <f t="shared" ca="1" si="30"/>
        <v>4</v>
      </c>
      <c r="K120" s="3" t="str">
        <f t="shared" ca="1" si="31"/>
        <v>Maharashtra</v>
      </c>
      <c r="L120" s="3">
        <f t="shared" ca="1" si="32"/>
        <v>42705</v>
      </c>
      <c r="M120" s="3">
        <f t="shared" ca="1" si="33"/>
        <v>384345</v>
      </c>
      <c r="N120" s="3">
        <f t="shared" ca="1" si="34"/>
        <v>210085.89656673933</v>
      </c>
      <c r="O120" s="3">
        <f t="shared" ca="1" si="35"/>
        <v>36026.157381977428</v>
      </c>
      <c r="P120" s="3">
        <f t="shared" ca="1" si="36"/>
        <v>9225.9477130660343</v>
      </c>
      <c r="Q120" s="3">
        <f t="shared" ca="1" si="37"/>
        <v>32170.521735057344</v>
      </c>
      <c r="R120" s="3">
        <f t="shared" ca="1" si="38"/>
        <v>8848.365708340023</v>
      </c>
      <c r="S120" s="3">
        <f t="shared" ca="1" si="39"/>
        <v>429219.52309031744</v>
      </c>
      <c r="T120" s="3">
        <f t="shared" ca="1" si="40"/>
        <v>251482.36601486272</v>
      </c>
      <c r="U120" s="5">
        <f t="shared" ca="1" si="41"/>
        <v>177737.15707545471</v>
      </c>
    </row>
    <row r="121" spans="1:21" x14ac:dyDescent="0.35">
      <c r="A121">
        <f t="shared" ca="1" si="23"/>
        <v>1</v>
      </c>
      <c r="B121" s="4" t="str">
        <f t="shared" ca="1" si="21"/>
        <v>M</v>
      </c>
      <c r="C121" s="3">
        <f t="shared" ca="1" si="24"/>
        <v>6</v>
      </c>
      <c r="D121" s="3">
        <f t="shared" ca="1" si="22"/>
        <v>31</v>
      </c>
      <c r="E121" s="3" t="str">
        <f t="shared" ca="1" si="25"/>
        <v>Art</v>
      </c>
      <c r="F121" s="3">
        <f t="shared" ca="1" si="26"/>
        <v>4</v>
      </c>
      <c r="G121" s="3" t="str">
        <f t="shared" ca="1" si="27"/>
        <v>PG</v>
      </c>
      <c r="H121" s="3">
        <f t="shared" ca="1" si="28"/>
        <v>1</v>
      </c>
      <c r="I121" s="3">
        <f t="shared" ca="1" si="29"/>
        <v>2</v>
      </c>
      <c r="J121" s="3">
        <f t="shared" ca="1" si="30"/>
        <v>1</v>
      </c>
      <c r="K121" s="3" t="str">
        <f t="shared" ca="1" si="31"/>
        <v>Haryana</v>
      </c>
      <c r="L121" s="3">
        <f t="shared" ca="1" si="32"/>
        <v>42913</v>
      </c>
      <c r="M121" s="3">
        <f t="shared" ca="1" si="33"/>
        <v>300391</v>
      </c>
      <c r="N121" s="3">
        <f t="shared" ca="1" si="34"/>
        <v>134972.14497657868</v>
      </c>
      <c r="O121" s="3">
        <f t="shared" ca="1" si="35"/>
        <v>58885.736257984383</v>
      </c>
      <c r="P121" s="3">
        <f t="shared" ca="1" si="36"/>
        <v>24456.556333705954</v>
      </c>
      <c r="Q121" s="3">
        <f t="shared" ca="1" si="37"/>
        <v>23765.838515581698</v>
      </c>
      <c r="R121" s="3">
        <f t="shared" ca="1" si="38"/>
        <v>6497.7737530558061</v>
      </c>
      <c r="S121" s="3">
        <f t="shared" ca="1" si="39"/>
        <v>365774.51001104014</v>
      </c>
      <c r="T121" s="3">
        <f t="shared" ca="1" si="40"/>
        <v>183194.53982586635</v>
      </c>
      <c r="U121" s="5">
        <f t="shared" ca="1" si="41"/>
        <v>182579.97018517379</v>
      </c>
    </row>
    <row r="122" spans="1:21" x14ac:dyDescent="0.35">
      <c r="A122">
        <f t="shared" ca="1" si="23"/>
        <v>2</v>
      </c>
      <c r="B122" s="4" t="str">
        <f t="shared" ca="1" si="21"/>
        <v>F</v>
      </c>
      <c r="C122" s="3">
        <f t="shared" ca="1" si="24"/>
        <v>4</v>
      </c>
      <c r="D122" s="3">
        <f t="shared" ca="1" si="22"/>
        <v>27</v>
      </c>
      <c r="E122" s="3" t="str">
        <f t="shared" ca="1" si="25"/>
        <v>Accounting</v>
      </c>
      <c r="F122" s="3">
        <f t="shared" ca="1" si="26"/>
        <v>2</v>
      </c>
      <c r="G122" s="3" t="str">
        <f t="shared" ca="1" si="27"/>
        <v>Senior Secondary</v>
      </c>
      <c r="H122" s="3">
        <f t="shared" ca="1" si="28"/>
        <v>1</v>
      </c>
      <c r="I122" s="3">
        <f t="shared" ca="1" si="29"/>
        <v>1</v>
      </c>
      <c r="J122" s="3">
        <f t="shared" ca="1" si="30"/>
        <v>7</v>
      </c>
      <c r="K122" s="3" t="str">
        <f t="shared" ca="1" si="31"/>
        <v>Assam</v>
      </c>
      <c r="L122" s="3">
        <f t="shared" ca="1" si="32"/>
        <v>67046</v>
      </c>
      <c r="M122" s="3">
        <f t="shared" ca="1" si="33"/>
        <v>402276</v>
      </c>
      <c r="N122" s="3">
        <f t="shared" ca="1" si="34"/>
        <v>10654.768687200049</v>
      </c>
      <c r="O122" s="3">
        <f t="shared" ca="1" si="35"/>
        <v>28990.270923215627</v>
      </c>
      <c r="P122" s="3">
        <f t="shared" ca="1" si="36"/>
        <v>7359.001726519874</v>
      </c>
      <c r="Q122" s="3">
        <f t="shared" ca="1" si="37"/>
        <v>56559.83265229698</v>
      </c>
      <c r="R122" s="3">
        <f t="shared" ca="1" si="38"/>
        <v>16858.243108852512</v>
      </c>
      <c r="S122" s="3">
        <f t="shared" ca="1" si="39"/>
        <v>448124.51403206814</v>
      </c>
      <c r="T122" s="3">
        <f t="shared" ca="1" si="40"/>
        <v>74573.603066016905</v>
      </c>
      <c r="U122" s="5">
        <f t="shared" ca="1" si="41"/>
        <v>373550.91096605122</v>
      </c>
    </row>
    <row r="123" spans="1:21" x14ac:dyDescent="0.35">
      <c r="A123">
        <f t="shared" ca="1" si="23"/>
        <v>2</v>
      </c>
      <c r="B123" s="4" t="str">
        <f t="shared" ca="1" si="21"/>
        <v>F</v>
      </c>
      <c r="C123" s="3">
        <f t="shared" ca="1" si="24"/>
        <v>2</v>
      </c>
      <c r="D123" s="3">
        <f t="shared" ca="1" si="22"/>
        <v>40</v>
      </c>
      <c r="E123" s="3" t="str">
        <f t="shared" ca="1" si="25"/>
        <v>Healthcare</v>
      </c>
      <c r="F123" s="3">
        <f t="shared" ca="1" si="26"/>
        <v>4</v>
      </c>
      <c r="G123" s="3" t="str">
        <f t="shared" ca="1" si="27"/>
        <v>PG</v>
      </c>
      <c r="H123" s="3">
        <f t="shared" ca="1" si="28"/>
        <v>2</v>
      </c>
      <c r="I123" s="3">
        <f t="shared" ca="1" si="29"/>
        <v>1</v>
      </c>
      <c r="J123" s="3">
        <f t="shared" ca="1" si="30"/>
        <v>13</v>
      </c>
      <c r="K123" s="3" t="str">
        <f t="shared" ca="1" si="31"/>
        <v>Jharkhand</v>
      </c>
      <c r="L123" s="3">
        <f t="shared" ca="1" si="32"/>
        <v>96786</v>
      </c>
      <c r="M123" s="3">
        <f t="shared" ca="1" si="33"/>
        <v>580716</v>
      </c>
      <c r="N123" s="3">
        <f t="shared" ca="1" si="34"/>
        <v>155985.96070004971</v>
      </c>
      <c r="O123" s="3">
        <f t="shared" ca="1" si="35"/>
        <v>79448.597014688086</v>
      </c>
      <c r="P123" s="3">
        <f t="shared" ca="1" si="36"/>
        <v>24961.291417834545</v>
      </c>
      <c r="Q123" s="3">
        <f t="shared" ca="1" si="37"/>
        <v>22136.15208211655</v>
      </c>
      <c r="R123" s="3">
        <f t="shared" ca="1" si="38"/>
        <v>19068.494170159043</v>
      </c>
      <c r="S123" s="3">
        <f t="shared" ca="1" si="39"/>
        <v>679233.09118484706</v>
      </c>
      <c r="T123" s="3">
        <f t="shared" ca="1" si="40"/>
        <v>203083.4042000008</v>
      </c>
      <c r="U123" s="5">
        <f t="shared" ca="1" si="41"/>
        <v>476149.68698484625</v>
      </c>
    </row>
    <row r="124" spans="1:21" x14ac:dyDescent="0.35">
      <c r="A124">
        <f t="shared" ca="1" si="23"/>
        <v>1</v>
      </c>
      <c r="B124" s="4" t="str">
        <f t="shared" ca="1" si="21"/>
        <v>M</v>
      </c>
      <c r="C124" s="3">
        <f t="shared" ca="1" si="24"/>
        <v>3</v>
      </c>
      <c r="D124" s="3">
        <f t="shared" ca="1" si="22"/>
        <v>45</v>
      </c>
      <c r="E124" s="3" t="str">
        <f t="shared" ca="1" si="25"/>
        <v>IT</v>
      </c>
      <c r="F124" s="3">
        <f t="shared" ca="1" si="26"/>
        <v>4</v>
      </c>
      <c r="G124" s="3" t="str">
        <f t="shared" ca="1" si="27"/>
        <v>PG</v>
      </c>
      <c r="H124" s="3">
        <f t="shared" ca="1" si="28"/>
        <v>1</v>
      </c>
      <c r="I124" s="3">
        <f t="shared" ca="1" si="29"/>
        <v>0</v>
      </c>
      <c r="J124" s="3">
        <f t="shared" ca="1" si="30"/>
        <v>11</v>
      </c>
      <c r="K124" s="3" t="str">
        <f t="shared" ca="1" si="31"/>
        <v>Goa</v>
      </c>
      <c r="L124" s="3">
        <f t="shared" ca="1" si="32"/>
        <v>89147</v>
      </c>
      <c r="M124" s="3">
        <f t="shared" ca="1" si="33"/>
        <v>534882</v>
      </c>
      <c r="N124" s="3">
        <f t="shared" ca="1" si="34"/>
        <v>116190.38633667906</v>
      </c>
      <c r="O124" s="3">
        <f t="shared" ca="1" si="35"/>
        <v>0</v>
      </c>
      <c r="P124" s="3">
        <f t="shared" ca="1" si="36"/>
        <v>0</v>
      </c>
      <c r="Q124" s="3">
        <f t="shared" ca="1" si="37"/>
        <v>43881.235398889505</v>
      </c>
      <c r="R124" s="3">
        <f t="shared" ca="1" si="38"/>
        <v>82354.911488222337</v>
      </c>
      <c r="S124" s="3">
        <f t="shared" ca="1" si="39"/>
        <v>617236.91148822231</v>
      </c>
      <c r="T124" s="3">
        <f t="shared" ca="1" si="40"/>
        <v>160071.62173556857</v>
      </c>
      <c r="U124" s="5">
        <f t="shared" ca="1" si="41"/>
        <v>457165.28975265374</v>
      </c>
    </row>
    <row r="125" spans="1:21" x14ac:dyDescent="0.35">
      <c r="A125">
        <f t="shared" ca="1" si="23"/>
        <v>1</v>
      </c>
      <c r="B125" s="4" t="str">
        <f t="shared" ca="1" si="21"/>
        <v>M</v>
      </c>
      <c r="C125" s="3">
        <f t="shared" ca="1" si="24"/>
        <v>1</v>
      </c>
      <c r="D125" s="3">
        <f t="shared" ca="1" si="22"/>
        <v>35</v>
      </c>
      <c r="E125" s="3" t="str">
        <f t="shared" ca="1" si="25"/>
        <v>Engineering</v>
      </c>
      <c r="F125" s="3">
        <f t="shared" ca="1" si="26"/>
        <v>1</v>
      </c>
      <c r="G125" s="3" t="str">
        <f t="shared" ca="1" si="27"/>
        <v>Secondary</v>
      </c>
      <c r="H125" s="3">
        <f t="shared" ca="1" si="28"/>
        <v>3</v>
      </c>
      <c r="I125" s="3">
        <f t="shared" ca="1" si="29"/>
        <v>0</v>
      </c>
      <c r="J125" s="3">
        <f t="shared" ca="1" si="30"/>
        <v>2</v>
      </c>
      <c r="K125" s="3" t="str">
        <f t="shared" ca="1" si="31"/>
        <v>Uttar Pradesh</v>
      </c>
      <c r="L125" s="3">
        <f t="shared" ca="1" si="32"/>
        <v>52773</v>
      </c>
      <c r="M125" s="3">
        <f t="shared" ca="1" si="33"/>
        <v>422184</v>
      </c>
      <c r="N125" s="3">
        <f t="shared" ca="1" si="34"/>
        <v>71972.002945665139</v>
      </c>
      <c r="O125" s="3">
        <f t="shared" ca="1" si="35"/>
        <v>0</v>
      </c>
      <c r="P125" s="3">
        <f t="shared" ca="1" si="36"/>
        <v>0</v>
      </c>
      <c r="Q125" s="3">
        <f t="shared" ca="1" si="37"/>
        <v>9568.1866641603337</v>
      </c>
      <c r="R125" s="3">
        <f t="shared" ca="1" si="38"/>
        <v>35342.615908280728</v>
      </c>
      <c r="S125" s="3">
        <f t="shared" ca="1" si="39"/>
        <v>457526.61590828071</v>
      </c>
      <c r="T125" s="3">
        <f t="shared" ca="1" si="40"/>
        <v>81540.189609825466</v>
      </c>
      <c r="U125" s="5">
        <f t="shared" ca="1" si="41"/>
        <v>375986.42629845522</v>
      </c>
    </row>
    <row r="126" spans="1:21" x14ac:dyDescent="0.35">
      <c r="A126">
        <f t="shared" ca="1" si="23"/>
        <v>1</v>
      </c>
      <c r="B126" s="4" t="str">
        <f t="shared" ca="1" si="21"/>
        <v>M</v>
      </c>
      <c r="C126" s="3">
        <f t="shared" ca="1" si="24"/>
        <v>2</v>
      </c>
      <c r="D126" s="3">
        <f t="shared" ca="1" si="22"/>
        <v>38</v>
      </c>
      <c r="E126" s="3" t="str">
        <f t="shared" ca="1" si="25"/>
        <v>Healthcare</v>
      </c>
      <c r="F126" s="3">
        <f t="shared" ca="1" si="26"/>
        <v>1</v>
      </c>
      <c r="G126" s="3" t="str">
        <f t="shared" ca="1" si="27"/>
        <v>Secondary</v>
      </c>
      <c r="H126" s="3">
        <f t="shared" ca="1" si="28"/>
        <v>4</v>
      </c>
      <c r="I126" s="3">
        <f t="shared" ca="1" si="29"/>
        <v>2</v>
      </c>
      <c r="J126" s="3">
        <f t="shared" ca="1" si="30"/>
        <v>27</v>
      </c>
      <c r="K126" s="3" t="str">
        <f t="shared" ca="1" si="31"/>
        <v>Uttrakhand</v>
      </c>
      <c r="L126" s="3">
        <f t="shared" ca="1" si="32"/>
        <v>62239</v>
      </c>
      <c r="M126" s="3">
        <f t="shared" ca="1" si="33"/>
        <v>373434</v>
      </c>
      <c r="N126" s="3">
        <f t="shared" ca="1" si="34"/>
        <v>16450.170909205262</v>
      </c>
      <c r="O126" s="3">
        <f t="shared" ca="1" si="35"/>
        <v>34657.433252297575</v>
      </c>
      <c r="P126" s="3">
        <f t="shared" ca="1" si="36"/>
        <v>22501.280338900298</v>
      </c>
      <c r="Q126" s="3">
        <f t="shared" ca="1" si="37"/>
        <v>40104.23196412492</v>
      </c>
      <c r="R126" s="3">
        <f t="shared" ca="1" si="38"/>
        <v>13278.936969051929</v>
      </c>
      <c r="S126" s="3">
        <f t="shared" ca="1" si="39"/>
        <v>421370.37022134953</v>
      </c>
      <c r="T126" s="3">
        <f t="shared" ca="1" si="40"/>
        <v>79055.683212230477</v>
      </c>
      <c r="U126" s="5">
        <f t="shared" ca="1" si="41"/>
        <v>342314.68700911908</v>
      </c>
    </row>
    <row r="127" spans="1:21" x14ac:dyDescent="0.35">
      <c r="A127">
        <f t="shared" ca="1" si="23"/>
        <v>1</v>
      </c>
      <c r="B127" s="4" t="str">
        <f t="shared" ca="1" si="21"/>
        <v>M</v>
      </c>
      <c r="C127" s="3">
        <f t="shared" ca="1" si="24"/>
        <v>4</v>
      </c>
      <c r="D127" s="3">
        <f t="shared" ca="1" si="22"/>
        <v>45</v>
      </c>
      <c r="E127" s="3" t="str">
        <f t="shared" ca="1" si="25"/>
        <v>Accounting</v>
      </c>
      <c r="F127" s="3">
        <f t="shared" ca="1" si="26"/>
        <v>3</v>
      </c>
      <c r="G127" s="3" t="str">
        <f t="shared" ca="1" si="27"/>
        <v>UG</v>
      </c>
      <c r="H127" s="3">
        <f t="shared" ca="1" si="28"/>
        <v>4</v>
      </c>
      <c r="I127" s="3">
        <f t="shared" ca="1" si="29"/>
        <v>1</v>
      </c>
      <c r="J127" s="3">
        <f t="shared" ca="1" si="30"/>
        <v>8</v>
      </c>
      <c r="K127" s="3" t="str">
        <f t="shared" ca="1" si="31"/>
        <v>Bihar</v>
      </c>
      <c r="L127" s="3">
        <f t="shared" ca="1" si="32"/>
        <v>32293</v>
      </c>
      <c r="M127" s="3">
        <f t="shared" ca="1" si="33"/>
        <v>226051</v>
      </c>
      <c r="N127" s="3">
        <f t="shared" ca="1" si="34"/>
        <v>120507.21765790839</v>
      </c>
      <c r="O127" s="3">
        <f t="shared" ca="1" si="35"/>
        <v>8701.6160485615892</v>
      </c>
      <c r="P127" s="3">
        <f t="shared" ca="1" si="36"/>
        <v>132.63290577705808</v>
      </c>
      <c r="Q127" s="3">
        <f t="shared" ca="1" si="37"/>
        <v>6577.4295503590911</v>
      </c>
      <c r="R127" s="3">
        <f t="shared" ca="1" si="38"/>
        <v>7814.1773054476125</v>
      </c>
      <c r="S127" s="3">
        <f t="shared" ca="1" si="39"/>
        <v>242566.79335400919</v>
      </c>
      <c r="T127" s="3">
        <f t="shared" ca="1" si="40"/>
        <v>127217.28011404455</v>
      </c>
      <c r="U127" s="5">
        <f t="shared" ca="1" si="41"/>
        <v>115349.51323996464</v>
      </c>
    </row>
    <row r="128" spans="1:21" x14ac:dyDescent="0.35">
      <c r="A128">
        <f t="shared" ca="1" si="23"/>
        <v>1</v>
      </c>
      <c r="B128" s="4" t="str">
        <f t="shared" ca="1" si="21"/>
        <v>M</v>
      </c>
      <c r="C128" s="3">
        <f t="shared" ca="1" si="24"/>
        <v>1</v>
      </c>
      <c r="D128" s="3">
        <f t="shared" ca="1" si="22"/>
        <v>23</v>
      </c>
      <c r="E128" s="3" t="str">
        <f t="shared" ca="1" si="25"/>
        <v>Engineering</v>
      </c>
      <c r="F128" s="3">
        <f t="shared" ca="1" si="26"/>
        <v>5</v>
      </c>
      <c r="G128" s="3" t="str">
        <f t="shared" ca="1" si="27"/>
        <v>Diploma</v>
      </c>
      <c r="H128" s="3">
        <f t="shared" ca="1" si="28"/>
        <v>1</v>
      </c>
      <c r="I128" s="3">
        <f t="shared" ca="1" si="29"/>
        <v>0</v>
      </c>
      <c r="J128" s="3">
        <f t="shared" ca="1" si="30"/>
        <v>18</v>
      </c>
      <c r="K128" s="3" t="str">
        <f t="shared" ca="1" si="31"/>
        <v>Meghalya</v>
      </c>
      <c r="L128" s="3">
        <f t="shared" ca="1" si="32"/>
        <v>40886</v>
      </c>
      <c r="M128" s="3">
        <f t="shared" ca="1" si="33"/>
        <v>286202</v>
      </c>
      <c r="N128" s="3">
        <f t="shared" ca="1" si="34"/>
        <v>225711.2966729239</v>
      </c>
      <c r="O128" s="3">
        <f t="shared" ca="1" si="35"/>
        <v>0</v>
      </c>
      <c r="P128" s="3">
        <f t="shared" ca="1" si="36"/>
        <v>0</v>
      </c>
      <c r="Q128" s="3">
        <f t="shared" ca="1" si="37"/>
        <v>4950.3342506448753</v>
      </c>
      <c r="R128" s="3">
        <f t="shared" ca="1" si="38"/>
        <v>6517.374940460878</v>
      </c>
      <c r="S128" s="3">
        <f t="shared" ca="1" si="39"/>
        <v>292719.3749404609</v>
      </c>
      <c r="T128" s="3">
        <f t="shared" ca="1" si="40"/>
        <v>230661.63092356877</v>
      </c>
      <c r="U128" s="5">
        <f t="shared" ca="1" si="41"/>
        <v>62057.744016892131</v>
      </c>
    </row>
    <row r="129" spans="1:21" x14ac:dyDescent="0.35">
      <c r="A129">
        <f t="shared" ca="1" si="23"/>
        <v>2</v>
      </c>
      <c r="B129" s="4" t="str">
        <f t="shared" ca="1" si="21"/>
        <v>F</v>
      </c>
      <c r="C129" s="3">
        <f t="shared" ca="1" si="24"/>
        <v>4</v>
      </c>
      <c r="D129" s="3">
        <f t="shared" ca="1" si="22"/>
        <v>22</v>
      </c>
      <c r="E129" s="3" t="str">
        <f t="shared" ca="1" si="25"/>
        <v>Accounting</v>
      </c>
      <c r="F129" s="3">
        <f t="shared" ca="1" si="26"/>
        <v>3</v>
      </c>
      <c r="G129" s="3" t="str">
        <f t="shared" ca="1" si="27"/>
        <v>UG</v>
      </c>
      <c r="H129" s="3">
        <f t="shared" ca="1" si="28"/>
        <v>4</v>
      </c>
      <c r="I129" s="3">
        <f t="shared" ca="1" si="29"/>
        <v>0</v>
      </c>
      <c r="J129" s="3">
        <f t="shared" ca="1" si="30"/>
        <v>14</v>
      </c>
      <c r="K129" s="3" t="str">
        <f t="shared" ca="1" si="31"/>
        <v>Karnataka</v>
      </c>
      <c r="L129" s="3">
        <f t="shared" ca="1" si="32"/>
        <v>52755</v>
      </c>
      <c r="M129" s="3">
        <f t="shared" ca="1" si="33"/>
        <v>474795</v>
      </c>
      <c r="N129" s="3">
        <f t="shared" ca="1" si="34"/>
        <v>413098.94550051773</v>
      </c>
      <c r="O129" s="3">
        <f t="shared" ca="1" si="35"/>
        <v>0</v>
      </c>
      <c r="P129" s="3">
        <f t="shared" ca="1" si="36"/>
        <v>0</v>
      </c>
      <c r="Q129" s="3">
        <f t="shared" ca="1" si="37"/>
        <v>37474.948376425265</v>
      </c>
      <c r="R129" s="3">
        <f t="shared" ca="1" si="38"/>
        <v>2175.1772040489573</v>
      </c>
      <c r="S129" s="3">
        <f t="shared" ca="1" si="39"/>
        <v>476970.17720404896</v>
      </c>
      <c r="T129" s="3">
        <f t="shared" ca="1" si="40"/>
        <v>450573.89387694298</v>
      </c>
      <c r="U129" s="5">
        <f t="shared" ca="1" si="41"/>
        <v>26396.283327105979</v>
      </c>
    </row>
    <row r="130" spans="1:21" x14ac:dyDescent="0.35">
      <c r="A130">
        <f t="shared" ca="1" si="23"/>
        <v>1</v>
      </c>
      <c r="B130" s="4" t="str">
        <f t="shared" ca="1" si="21"/>
        <v>M</v>
      </c>
      <c r="C130" s="3">
        <f t="shared" ca="1" si="24"/>
        <v>7</v>
      </c>
      <c r="D130" s="3">
        <f t="shared" ca="1" si="22"/>
        <v>30</v>
      </c>
      <c r="E130" s="3" t="str">
        <f t="shared" ca="1" si="25"/>
        <v>Other</v>
      </c>
      <c r="F130" s="3">
        <f t="shared" ca="1" si="26"/>
        <v>6</v>
      </c>
      <c r="G130" s="3" t="str">
        <f t="shared" ca="1" si="27"/>
        <v>Doctorate</v>
      </c>
      <c r="H130" s="3">
        <f t="shared" ca="1" si="28"/>
        <v>4</v>
      </c>
      <c r="I130" s="3">
        <f t="shared" ca="1" si="29"/>
        <v>1</v>
      </c>
      <c r="J130" s="3">
        <f t="shared" ca="1" si="30"/>
        <v>20</v>
      </c>
      <c r="K130" s="3" t="str">
        <f t="shared" ca="1" si="31"/>
        <v>Nagaland</v>
      </c>
      <c r="L130" s="3">
        <f t="shared" ca="1" si="32"/>
        <v>69728</v>
      </c>
      <c r="M130" s="3">
        <f t="shared" ca="1" si="33"/>
        <v>627552</v>
      </c>
      <c r="N130" s="3">
        <f t="shared" ca="1" si="34"/>
        <v>31538.409242917769</v>
      </c>
      <c r="O130" s="3">
        <f t="shared" ca="1" si="35"/>
        <v>37878.404096924045</v>
      </c>
      <c r="P130" s="3">
        <f t="shared" ca="1" si="36"/>
        <v>34773.039403886884</v>
      </c>
      <c r="Q130" s="3">
        <f t="shared" ca="1" si="37"/>
        <v>16699.614132378723</v>
      </c>
      <c r="R130" s="3">
        <f t="shared" ca="1" si="38"/>
        <v>34563.010563512435</v>
      </c>
      <c r="S130" s="3">
        <f t="shared" ca="1" si="39"/>
        <v>699993.41466043645</v>
      </c>
      <c r="T130" s="3">
        <f t="shared" ca="1" si="40"/>
        <v>83011.062779183383</v>
      </c>
      <c r="U130" s="5">
        <f t="shared" ca="1" si="41"/>
        <v>616982.35188125307</v>
      </c>
    </row>
    <row r="131" spans="1:21" x14ac:dyDescent="0.35">
      <c r="A131">
        <f t="shared" ca="1" si="23"/>
        <v>1</v>
      </c>
      <c r="B131" s="4" t="str">
        <f t="shared" ca="1" si="21"/>
        <v>M</v>
      </c>
      <c r="C131" s="3">
        <f t="shared" ca="1" si="24"/>
        <v>2</v>
      </c>
      <c r="D131" s="3">
        <f t="shared" ca="1" si="22"/>
        <v>36</v>
      </c>
      <c r="E131" s="3" t="str">
        <f t="shared" ca="1" si="25"/>
        <v>Healthcare</v>
      </c>
      <c r="F131" s="3">
        <f t="shared" ca="1" si="26"/>
        <v>4</v>
      </c>
      <c r="G131" s="3" t="str">
        <f t="shared" ca="1" si="27"/>
        <v>PG</v>
      </c>
      <c r="H131" s="3">
        <f t="shared" ca="1" si="28"/>
        <v>2</v>
      </c>
      <c r="I131" s="3">
        <f t="shared" ca="1" si="29"/>
        <v>2</v>
      </c>
      <c r="J131" s="3">
        <f t="shared" ca="1" si="30"/>
        <v>27</v>
      </c>
      <c r="K131" s="3" t="str">
        <f t="shared" ca="1" si="31"/>
        <v>Uttrakhand</v>
      </c>
      <c r="L131" s="3">
        <f t="shared" ca="1" si="32"/>
        <v>54602</v>
      </c>
      <c r="M131" s="3">
        <f t="shared" ca="1" si="33"/>
        <v>273010</v>
      </c>
      <c r="N131" s="3">
        <f t="shared" ca="1" si="34"/>
        <v>198659.99589065302</v>
      </c>
      <c r="O131" s="3">
        <f t="shared" ca="1" si="35"/>
        <v>102757.10167864538</v>
      </c>
      <c r="P131" s="3">
        <f t="shared" ca="1" si="36"/>
        <v>40547.209889827573</v>
      </c>
      <c r="Q131" s="3">
        <f t="shared" ca="1" si="37"/>
        <v>6596.0967409193572</v>
      </c>
      <c r="R131" s="3">
        <f t="shared" ca="1" si="38"/>
        <v>6629.6850494783603</v>
      </c>
      <c r="S131" s="3">
        <f t="shared" ca="1" si="39"/>
        <v>382396.78672812373</v>
      </c>
      <c r="T131" s="3">
        <f t="shared" ca="1" si="40"/>
        <v>245803.30252139995</v>
      </c>
      <c r="U131" s="5">
        <f t="shared" ca="1" si="41"/>
        <v>136593.48420672378</v>
      </c>
    </row>
    <row r="132" spans="1:21" x14ac:dyDescent="0.35">
      <c r="A132">
        <f t="shared" ca="1" si="23"/>
        <v>2</v>
      </c>
      <c r="B132" s="4" t="str">
        <f t="shared" ca="1" si="21"/>
        <v>F</v>
      </c>
      <c r="C132" s="3">
        <f t="shared" ca="1" si="24"/>
        <v>3</v>
      </c>
      <c r="D132" s="3">
        <f t="shared" ca="1" si="22"/>
        <v>28</v>
      </c>
      <c r="E132" s="3" t="str">
        <f t="shared" ca="1" si="25"/>
        <v>IT</v>
      </c>
      <c r="F132" s="3">
        <f t="shared" ca="1" si="26"/>
        <v>3</v>
      </c>
      <c r="G132" s="3" t="str">
        <f t="shared" ca="1" si="27"/>
        <v>UG</v>
      </c>
      <c r="H132" s="3">
        <f t="shared" ca="1" si="28"/>
        <v>0</v>
      </c>
      <c r="I132" s="3">
        <f t="shared" ca="1" si="29"/>
        <v>2</v>
      </c>
      <c r="J132" s="3">
        <f t="shared" ca="1" si="30"/>
        <v>28</v>
      </c>
      <c r="K132" s="3" t="str">
        <f t="shared" ca="1" si="31"/>
        <v>West Bengal</v>
      </c>
      <c r="L132" s="3">
        <f t="shared" ca="1" si="32"/>
        <v>65545</v>
      </c>
      <c r="M132" s="3">
        <f t="shared" ca="1" si="33"/>
        <v>327725</v>
      </c>
      <c r="N132" s="3">
        <f t="shared" ca="1" si="34"/>
        <v>247057.89269984269</v>
      </c>
      <c r="O132" s="3">
        <f t="shared" ca="1" si="35"/>
        <v>19379.212315526591</v>
      </c>
      <c r="P132" s="3">
        <f t="shared" ca="1" si="36"/>
        <v>6253.5596029907219</v>
      </c>
      <c r="Q132" s="3">
        <f t="shared" ca="1" si="37"/>
        <v>35720.453158269578</v>
      </c>
      <c r="R132" s="3">
        <f t="shared" ca="1" si="38"/>
        <v>44732.240831624906</v>
      </c>
      <c r="S132" s="3">
        <f t="shared" ca="1" si="39"/>
        <v>391836.45314715151</v>
      </c>
      <c r="T132" s="3">
        <f t="shared" ca="1" si="40"/>
        <v>289031.90546110296</v>
      </c>
      <c r="U132" s="5">
        <f t="shared" ca="1" si="41"/>
        <v>102804.54768604855</v>
      </c>
    </row>
    <row r="133" spans="1:21" x14ac:dyDescent="0.35">
      <c r="A133">
        <f t="shared" ca="1" si="23"/>
        <v>2</v>
      </c>
      <c r="B133" s="4" t="str">
        <f t="shared" ca="1" si="21"/>
        <v>F</v>
      </c>
      <c r="C133" s="3">
        <f t="shared" ca="1" si="24"/>
        <v>3</v>
      </c>
      <c r="D133" s="3">
        <f t="shared" ca="1" si="22"/>
        <v>28</v>
      </c>
      <c r="E133" s="3" t="str">
        <f t="shared" ca="1" si="25"/>
        <v>IT</v>
      </c>
      <c r="F133" s="3">
        <f t="shared" ca="1" si="26"/>
        <v>2</v>
      </c>
      <c r="G133" s="3" t="str">
        <f t="shared" ca="1" si="27"/>
        <v>Senior Secondary</v>
      </c>
      <c r="H133" s="3">
        <f t="shared" ca="1" si="28"/>
        <v>1</v>
      </c>
      <c r="I133" s="3">
        <f t="shared" ca="1" si="29"/>
        <v>1</v>
      </c>
      <c r="J133" s="3">
        <f t="shared" ca="1" si="30"/>
        <v>25</v>
      </c>
      <c r="K133" s="3" t="str">
        <f t="shared" ca="1" si="31"/>
        <v>Telangana</v>
      </c>
      <c r="L133" s="3">
        <f t="shared" ca="1" si="32"/>
        <v>38984</v>
      </c>
      <c r="M133" s="3">
        <f t="shared" ca="1" si="33"/>
        <v>311872</v>
      </c>
      <c r="N133" s="3">
        <f t="shared" ca="1" si="34"/>
        <v>35493.602215160936</v>
      </c>
      <c r="O133" s="3">
        <f t="shared" ca="1" si="35"/>
        <v>21513.630849943169</v>
      </c>
      <c r="P133" s="3">
        <f t="shared" ca="1" si="36"/>
        <v>10658.898184881895</v>
      </c>
      <c r="Q133" s="3">
        <f t="shared" ca="1" si="37"/>
        <v>5303.1011297754858</v>
      </c>
      <c r="R133" s="3">
        <f t="shared" ca="1" si="38"/>
        <v>37318.592337462069</v>
      </c>
      <c r="S133" s="3">
        <f t="shared" ca="1" si="39"/>
        <v>370704.22318740521</v>
      </c>
      <c r="T133" s="3">
        <f t="shared" ca="1" si="40"/>
        <v>51455.601529818319</v>
      </c>
      <c r="U133" s="5">
        <f t="shared" ca="1" si="41"/>
        <v>319248.62165758689</v>
      </c>
    </row>
    <row r="134" spans="1:21" x14ac:dyDescent="0.35">
      <c r="A134">
        <f t="shared" ca="1" si="23"/>
        <v>1</v>
      </c>
      <c r="B134" s="4" t="str">
        <f t="shared" ca="1" si="21"/>
        <v>M</v>
      </c>
      <c r="C134" s="3">
        <f t="shared" ca="1" si="24"/>
        <v>4</v>
      </c>
      <c r="D134" s="3">
        <f t="shared" ca="1" si="22"/>
        <v>35</v>
      </c>
      <c r="E134" s="3" t="str">
        <f t="shared" ca="1" si="25"/>
        <v>Accounting</v>
      </c>
      <c r="F134" s="3">
        <f t="shared" ca="1" si="26"/>
        <v>3</v>
      </c>
      <c r="G134" s="3" t="str">
        <f t="shared" ca="1" si="27"/>
        <v>UG</v>
      </c>
      <c r="H134" s="3">
        <f t="shared" ca="1" si="28"/>
        <v>4</v>
      </c>
      <c r="I134" s="3">
        <f t="shared" ca="1" si="29"/>
        <v>2</v>
      </c>
      <c r="J134" s="3">
        <f t="shared" ca="1" si="30"/>
        <v>19</v>
      </c>
      <c r="K134" s="3" t="str">
        <f t="shared" ca="1" si="31"/>
        <v>Mizoram</v>
      </c>
      <c r="L134" s="3">
        <f t="shared" ca="1" si="32"/>
        <v>90158</v>
      </c>
      <c r="M134" s="3">
        <f t="shared" ca="1" si="33"/>
        <v>540948</v>
      </c>
      <c r="N134" s="3">
        <f t="shared" ca="1" si="34"/>
        <v>161799.44436828568</v>
      </c>
      <c r="O134" s="3">
        <f t="shared" ca="1" si="35"/>
        <v>47166.091020880449</v>
      </c>
      <c r="P134" s="3">
        <f t="shared" ca="1" si="36"/>
        <v>23720.503445104423</v>
      </c>
      <c r="Q134" s="3">
        <f t="shared" ca="1" si="37"/>
        <v>43240.402293024505</v>
      </c>
      <c r="R134" s="3">
        <f t="shared" ca="1" si="38"/>
        <v>34084.673967569812</v>
      </c>
      <c r="S134" s="3">
        <f t="shared" ca="1" si="39"/>
        <v>622198.76498845033</v>
      </c>
      <c r="T134" s="3">
        <f t="shared" ca="1" si="40"/>
        <v>228760.35010641461</v>
      </c>
      <c r="U134" s="5">
        <f t="shared" ca="1" si="41"/>
        <v>393438.41488203569</v>
      </c>
    </row>
    <row r="135" spans="1:21" x14ac:dyDescent="0.35">
      <c r="A135">
        <f t="shared" ca="1" si="23"/>
        <v>1</v>
      </c>
      <c r="B135" s="4" t="str">
        <f t="shared" ref="B135:B198" ca="1" si="42">IF(A135=1,"M","F")</f>
        <v>M</v>
      </c>
      <c r="C135" s="3">
        <f t="shared" ca="1" si="24"/>
        <v>2</v>
      </c>
      <c r="D135" s="3">
        <f t="shared" ref="D135:D198" ca="1" si="43">RANDBETWEEN(18,45)</f>
        <v>42</v>
      </c>
      <c r="E135" s="3" t="str">
        <f t="shared" ca="1" si="25"/>
        <v>Healthcare</v>
      </c>
      <c r="F135" s="3">
        <f t="shared" ca="1" si="26"/>
        <v>6</v>
      </c>
      <c r="G135" s="3" t="str">
        <f t="shared" ca="1" si="27"/>
        <v>Doctorate</v>
      </c>
      <c r="H135" s="3">
        <f t="shared" ca="1" si="28"/>
        <v>2</v>
      </c>
      <c r="I135" s="3">
        <f t="shared" ca="1" si="29"/>
        <v>3</v>
      </c>
      <c r="J135" s="3">
        <f t="shared" ca="1" si="30"/>
        <v>23</v>
      </c>
      <c r="K135" s="3" t="str">
        <f t="shared" ca="1" si="31"/>
        <v>Sikkim</v>
      </c>
      <c r="L135" s="3">
        <f t="shared" ca="1" si="32"/>
        <v>48504</v>
      </c>
      <c r="M135" s="3">
        <f t="shared" ca="1" si="33"/>
        <v>339528</v>
      </c>
      <c r="N135" s="3">
        <f t="shared" ca="1" si="34"/>
        <v>96699.208330568246</v>
      </c>
      <c r="O135" s="3">
        <f t="shared" ca="1" si="35"/>
        <v>9602.3705303989045</v>
      </c>
      <c r="P135" s="3">
        <f t="shared" ca="1" si="36"/>
        <v>6563.120343100506</v>
      </c>
      <c r="Q135" s="3">
        <f t="shared" ca="1" si="37"/>
        <v>21936.75844324478</v>
      </c>
      <c r="R135" s="3">
        <f t="shared" ca="1" si="38"/>
        <v>331.27870155895829</v>
      </c>
      <c r="S135" s="3">
        <f t="shared" ca="1" si="39"/>
        <v>349461.64923195785</v>
      </c>
      <c r="T135" s="3">
        <f t="shared" ca="1" si="40"/>
        <v>125199.08711691354</v>
      </c>
      <c r="U135" s="5">
        <f t="shared" ca="1" si="41"/>
        <v>224262.56211504433</v>
      </c>
    </row>
    <row r="136" spans="1:21" x14ac:dyDescent="0.35">
      <c r="A136">
        <f t="shared" ref="A136:A199" ca="1" si="44">RANDBETWEEN(1,2)</f>
        <v>1</v>
      </c>
      <c r="B136" s="4" t="str">
        <f t="shared" ca="1" si="42"/>
        <v>M</v>
      </c>
      <c r="C136" s="3">
        <f t="shared" ref="C136:C199" ca="1" si="45">RANDBETWEEN(1,7)</f>
        <v>1</v>
      </c>
      <c r="D136" s="3">
        <f t="shared" ca="1" si="43"/>
        <v>28</v>
      </c>
      <c r="E136" s="3" t="str">
        <f t="shared" ref="E136:E199" ca="1" si="46">VLOOKUP(C136,$Y$7:$Z$13,2)</f>
        <v>Engineering</v>
      </c>
      <c r="F136" s="3">
        <f t="shared" ref="F136:F199" ca="1" si="47">RANDBETWEEN(1,7)</f>
        <v>4</v>
      </c>
      <c r="G136" s="3" t="str">
        <f t="shared" ref="G136:G199" ca="1" si="48">VLOOKUP(F136,$AB$7:$AC$13,2)</f>
        <v>PG</v>
      </c>
      <c r="H136" s="3">
        <f t="shared" ref="H136:H199" ca="1" si="49">RANDBETWEEN(0,4)</f>
        <v>1</v>
      </c>
      <c r="I136" s="3">
        <f t="shared" ref="I136:I199" ca="1" si="50">RANDBETWEEN(0,3)</f>
        <v>3</v>
      </c>
      <c r="J136" s="3">
        <f t="shared" ref="J136:J199" ca="1" si="51">RANDBETWEEN(1,28)</f>
        <v>10</v>
      </c>
      <c r="K136" s="3" t="str">
        <f t="shared" ref="K136:K199" ca="1" si="52">VLOOKUP(J136,$AE$7:$AF$34,2)</f>
        <v>Gujarat</v>
      </c>
      <c r="L136" s="3">
        <f t="shared" ref="L136:L199" ca="1" si="53">RANDBETWEEN(25000,99000)</f>
        <v>75750</v>
      </c>
      <c r="M136" s="3">
        <f t="shared" ref="M136:M199" ca="1" si="54">L136*RANDBETWEEN(5,9)</f>
        <v>454500</v>
      </c>
      <c r="N136" s="3">
        <f t="shared" ref="N136:N199" ca="1" si="55">RAND()*M136</f>
        <v>437715.63090582477</v>
      </c>
      <c r="O136" s="3">
        <f t="shared" ref="O136:O199" ca="1" si="56">RAND()*I136*L136</f>
        <v>43056.794246062062</v>
      </c>
      <c r="P136" s="3">
        <f t="shared" ref="P136:P199" ca="1" si="57">O136*RAND()</f>
        <v>25249.371100675715</v>
      </c>
      <c r="Q136" s="3">
        <f t="shared" ref="Q136:Q199" ca="1" si="58">RAND()*L136</f>
        <v>60885.732675349864</v>
      </c>
      <c r="R136" s="3">
        <f t="shared" ref="R136:R199" ca="1" si="59">RAND()*L136</f>
        <v>73879.582043435308</v>
      </c>
      <c r="S136" s="3">
        <f t="shared" ref="S136:S199" ca="1" si="60">M136+O136+R136</f>
        <v>571436.37628949736</v>
      </c>
      <c r="T136" s="3">
        <f t="shared" ref="T136:T199" ca="1" si="61">N136+P136+Q136</f>
        <v>523850.73468185036</v>
      </c>
      <c r="U136" s="5">
        <f t="shared" ref="U136:U199" ca="1" si="62">S136-T136</f>
        <v>47585.641607647005</v>
      </c>
    </row>
    <row r="137" spans="1:21" x14ac:dyDescent="0.35">
      <c r="A137">
        <f t="shared" ca="1" si="44"/>
        <v>2</v>
      </c>
      <c r="B137" s="4" t="str">
        <f t="shared" ca="1" si="42"/>
        <v>F</v>
      </c>
      <c r="C137" s="3">
        <f t="shared" ca="1" si="45"/>
        <v>3</v>
      </c>
      <c r="D137" s="3">
        <f t="shared" ca="1" si="43"/>
        <v>19</v>
      </c>
      <c r="E137" s="3" t="str">
        <f t="shared" ca="1" si="46"/>
        <v>IT</v>
      </c>
      <c r="F137" s="3">
        <f t="shared" ca="1" si="47"/>
        <v>4</v>
      </c>
      <c r="G137" s="3" t="str">
        <f t="shared" ca="1" si="48"/>
        <v>PG</v>
      </c>
      <c r="H137" s="3">
        <f t="shared" ca="1" si="49"/>
        <v>3</v>
      </c>
      <c r="I137" s="3">
        <f t="shared" ca="1" si="50"/>
        <v>0</v>
      </c>
      <c r="J137" s="3">
        <f t="shared" ca="1" si="51"/>
        <v>21</v>
      </c>
      <c r="K137" s="3" t="str">
        <f t="shared" ca="1" si="52"/>
        <v>Odisha</v>
      </c>
      <c r="L137" s="3">
        <f t="shared" ca="1" si="53"/>
        <v>30202</v>
      </c>
      <c r="M137" s="3">
        <f t="shared" ca="1" si="54"/>
        <v>181212</v>
      </c>
      <c r="N137" s="3">
        <f t="shared" ca="1" si="55"/>
        <v>28501.228143220469</v>
      </c>
      <c r="O137" s="3">
        <f t="shared" ca="1" si="56"/>
        <v>0</v>
      </c>
      <c r="P137" s="3">
        <f t="shared" ca="1" si="57"/>
        <v>0</v>
      </c>
      <c r="Q137" s="3">
        <f t="shared" ca="1" si="58"/>
        <v>20355.588724605364</v>
      </c>
      <c r="R137" s="3">
        <f t="shared" ca="1" si="59"/>
        <v>17810.494840831532</v>
      </c>
      <c r="S137" s="3">
        <f t="shared" ca="1" si="60"/>
        <v>199022.49484083152</v>
      </c>
      <c r="T137" s="3">
        <f t="shared" ca="1" si="61"/>
        <v>48856.816867825837</v>
      </c>
      <c r="U137" s="5">
        <f t="shared" ca="1" si="62"/>
        <v>150165.67797300569</v>
      </c>
    </row>
    <row r="138" spans="1:21" x14ac:dyDescent="0.35">
      <c r="A138">
        <f t="shared" ca="1" si="44"/>
        <v>2</v>
      </c>
      <c r="B138" s="4" t="str">
        <f t="shared" ca="1" si="42"/>
        <v>F</v>
      </c>
      <c r="C138" s="3">
        <f t="shared" ca="1" si="45"/>
        <v>3</v>
      </c>
      <c r="D138" s="3">
        <f t="shared" ca="1" si="43"/>
        <v>34</v>
      </c>
      <c r="E138" s="3" t="str">
        <f t="shared" ca="1" si="46"/>
        <v>IT</v>
      </c>
      <c r="F138" s="3">
        <f t="shared" ca="1" si="47"/>
        <v>5</v>
      </c>
      <c r="G138" s="3" t="str">
        <f t="shared" ca="1" si="48"/>
        <v>Diploma</v>
      </c>
      <c r="H138" s="3">
        <f t="shared" ca="1" si="49"/>
        <v>4</v>
      </c>
      <c r="I138" s="3">
        <f t="shared" ca="1" si="50"/>
        <v>3</v>
      </c>
      <c r="J138" s="3">
        <f t="shared" ca="1" si="51"/>
        <v>9</v>
      </c>
      <c r="K138" s="3" t="str">
        <f t="shared" ca="1" si="52"/>
        <v>Chhattisgarh</v>
      </c>
      <c r="L138" s="3">
        <f t="shared" ca="1" si="53"/>
        <v>34965</v>
      </c>
      <c r="M138" s="3">
        <f t="shared" ca="1" si="54"/>
        <v>244755</v>
      </c>
      <c r="N138" s="3">
        <f t="shared" ca="1" si="55"/>
        <v>219559.47514548749</v>
      </c>
      <c r="O138" s="3">
        <f t="shared" ca="1" si="56"/>
        <v>47481.389965378337</v>
      </c>
      <c r="P138" s="3">
        <f t="shared" ca="1" si="57"/>
        <v>6830.6066302818545</v>
      </c>
      <c r="Q138" s="3">
        <f t="shared" ca="1" si="58"/>
        <v>29338.06687432139</v>
      </c>
      <c r="R138" s="3">
        <f t="shared" ca="1" si="59"/>
        <v>31356.521024098904</v>
      </c>
      <c r="S138" s="3">
        <f t="shared" ca="1" si="60"/>
        <v>323592.91098947724</v>
      </c>
      <c r="T138" s="3">
        <f t="shared" ca="1" si="61"/>
        <v>255728.14865009073</v>
      </c>
      <c r="U138" s="5">
        <f t="shared" ca="1" si="62"/>
        <v>67864.762339386507</v>
      </c>
    </row>
    <row r="139" spans="1:21" x14ac:dyDescent="0.35">
      <c r="A139">
        <f t="shared" ca="1" si="44"/>
        <v>1</v>
      </c>
      <c r="B139" s="4" t="str">
        <f t="shared" ca="1" si="42"/>
        <v>M</v>
      </c>
      <c r="C139" s="3">
        <f t="shared" ca="1" si="45"/>
        <v>1</v>
      </c>
      <c r="D139" s="3">
        <f t="shared" ca="1" si="43"/>
        <v>34</v>
      </c>
      <c r="E139" s="3" t="str">
        <f t="shared" ca="1" si="46"/>
        <v>Engineering</v>
      </c>
      <c r="F139" s="3">
        <f t="shared" ca="1" si="47"/>
        <v>1</v>
      </c>
      <c r="G139" s="3" t="str">
        <f t="shared" ca="1" si="48"/>
        <v>Secondary</v>
      </c>
      <c r="H139" s="3">
        <f t="shared" ca="1" si="49"/>
        <v>3</v>
      </c>
      <c r="I139" s="3">
        <f t="shared" ca="1" si="50"/>
        <v>3</v>
      </c>
      <c r="J139" s="3">
        <f t="shared" ca="1" si="51"/>
        <v>12</v>
      </c>
      <c r="K139" s="3" t="str">
        <f t="shared" ca="1" si="52"/>
        <v>Himachal Pradesh</v>
      </c>
      <c r="L139" s="3">
        <f t="shared" ca="1" si="53"/>
        <v>66351</v>
      </c>
      <c r="M139" s="3">
        <f t="shared" ca="1" si="54"/>
        <v>530808</v>
      </c>
      <c r="N139" s="3">
        <f t="shared" ca="1" si="55"/>
        <v>177901.85925554173</v>
      </c>
      <c r="O139" s="3">
        <f t="shared" ca="1" si="56"/>
        <v>112235.71326571221</v>
      </c>
      <c r="P139" s="3">
        <f t="shared" ca="1" si="57"/>
        <v>95520.875212449682</v>
      </c>
      <c r="Q139" s="3">
        <f t="shared" ca="1" si="58"/>
        <v>64928.853077394684</v>
      </c>
      <c r="R139" s="3">
        <f t="shared" ca="1" si="59"/>
        <v>38402.431778468344</v>
      </c>
      <c r="S139" s="3">
        <f t="shared" ca="1" si="60"/>
        <v>681446.14504418056</v>
      </c>
      <c r="T139" s="3">
        <f t="shared" ca="1" si="61"/>
        <v>338351.58754538605</v>
      </c>
      <c r="U139" s="5">
        <f t="shared" ca="1" si="62"/>
        <v>343094.55749879451</v>
      </c>
    </row>
    <row r="140" spans="1:21" x14ac:dyDescent="0.35">
      <c r="A140">
        <f t="shared" ca="1" si="44"/>
        <v>1</v>
      </c>
      <c r="B140" s="4" t="str">
        <f t="shared" ca="1" si="42"/>
        <v>M</v>
      </c>
      <c r="C140" s="3">
        <f t="shared" ca="1" si="45"/>
        <v>2</v>
      </c>
      <c r="D140" s="3">
        <f t="shared" ca="1" si="43"/>
        <v>34</v>
      </c>
      <c r="E140" s="3" t="str">
        <f t="shared" ca="1" si="46"/>
        <v>Healthcare</v>
      </c>
      <c r="F140" s="3">
        <f t="shared" ca="1" si="47"/>
        <v>2</v>
      </c>
      <c r="G140" s="3" t="str">
        <f t="shared" ca="1" si="48"/>
        <v>Senior Secondary</v>
      </c>
      <c r="H140" s="3">
        <f t="shared" ca="1" si="49"/>
        <v>2</v>
      </c>
      <c r="I140" s="3">
        <f t="shared" ca="1" si="50"/>
        <v>2</v>
      </c>
      <c r="J140" s="3">
        <f t="shared" ca="1" si="51"/>
        <v>14</v>
      </c>
      <c r="K140" s="3" t="str">
        <f t="shared" ca="1" si="52"/>
        <v>Karnataka</v>
      </c>
      <c r="L140" s="3">
        <f t="shared" ca="1" si="53"/>
        <v>35956</v>
      </c>
      <c r="M140" s="3">
        <f t="shared" ca="1" si="54"/>
        <v>215736</v>
      </c>
      <c r="N140" s="3">
        <f t="shared" ca="1" si="55"/>
        <v>87621.41860899383</v>
      </c>
      <c r="O140" s="3">
        <f t="shared" ca="1" si="56"/>
        <v>28815.12149445348</v>
      </c>
      <c r="P140" s="3">
        <f t="shared" ca="1" si="57"/>
        <v>13308.804962491298</v>
      </c>
      <c r="Q140" s="3">
        <f t="shared" ca="1" si="58"/>
        <v>29328.966011162564</v>
      </c>
      <c r="R140" s="3">
        <f t="shared" ca="1" si="59"/>
        <v>26619.669414780557</v>
      </c>
      <c r="S140" s="3">
        <f t="shared" ca="1" si="60"/>
        <v>271170.79090923403</v>
      </c>
      <c r="T140" s="3">
        <f t="shared" ca="1" si="61"/>
        <v>130259.1895826477</v>
      </c>
      <c r="U140" s="5">
        <f t="shared" ca="1" si="62"/>
        <v>140911.60132658633</v>
      </c>
    </row>
    <row r="141" spans="1:21" x14ac:dyDescent="0.35">
      <c r="A141">
        <f t="shared" ca="1" si="44"/>
        <v>2</v>
      </c>
      <c r="B141" s="4" t="str">
        <f t="shared" ca="1" si="42"/>
        <v>F</v>
      </c>
      <c r="C141" s="3">
        <f t="shared" ca="1" si="45"/>
        <v>4</v>
      </c>
      <c r="D141" s="3">
        <f t="shared" ca="1" si="43"/>
        <v>37</v>
      </c>
      <c r="E141" s="3" t="str">
        <f t="shared" ca="1" si="46"/>
        <v>Accounting</v>
      </c>
      <c r="F141" s="3">
        <f t="shared" ca="1" si="47"/>
        <v>1</v>
      </c>
      <c r="G141" s="3" t="str">
        <f t="shared" ca="1" si="48"/>
        <v>Secondary</v>
      </c>
      <c r="H141" s="3">
        <f t="shared" ca="1" si="49"/>
        <v>3</v>
      </c>
      <c r="I141" s="3">
        <f t="shared" ca="1" si="50"/>
        <v>0</v>
      </c>
      <c r="J141" s="3">
        <f t="shared" ca="1" si="51"/>
        <v>13</v>
      </c>
      <c r="K141" s="3" t="str">
        <f t="shared" ca="1" si="52"/>
        <v>Jharkhand</v>
      </c>
      <c r="L141" s="3">
        <f t="shared" ca="1" si="53"/>
        <v>47906</v>
      </c>
      <c r="M141" s="3">
        <f t="shared" ca="1" si="54"/>
        <v>335342</v>
      </c>
      <c r="N141" s="3">
        <f t="shared" ca="1" si="55"/>
        <v>313623.02744606906</v>
      </c>
      <c r="O141" s="3">
        <f t="shared" ca="1" si="56"/>
        <v>0</v>
      </c>
      <c r="P141" s="3">
        <f t="shared" ca="1" si="57"/>
        <v>0</v>
      </c>
      <c r="Q141" s="3">
        <f t="shared" ca="1" si="58"/>
        <v>35417.638785659627</v>
      </c>
      <c r="R141" s="3">
        <f t="shared" ca="1" si="59"/>
        <v>5157.0004501694502</v>
      </c>
      <c r="S141" s="3">
        <f t="shared" ca="1" si="60"/>
        <v>340499.00045016943</v>
      </c>
      <c r="T141" s="3">
        <f t="shared" ca="1" si="61"/>
        <v>349040.66623172868</v>
      </c>
      <c r="U141" s="5">
        <f t="shared" ca="1" si="62"/>
        <v>-8541.665781559248</v>
      </c>
    </row>
    <row r="142" spans="1:21" x14ac:dyDescent="0.35">
      <c r="A142">
        <f t="shared" ca="1" si="44"/>
        <v>2</v>
      </c>
      <c r="B142" s="4" t="str">
        <f t="shared" ca="1" si="42"/>
        <v>F</v>
      </c>
      <c r="C142" s="3">
        <f t="shared" ca="1" si="45"/>
        <v>1</v>
      </c>
      <c r="D142" s="3">
        <f t="shared" ca="1" si="43"/>
        <v>43</v>
      </c>
      <c r="E142" s="3" t="str">
        <f t="shared" ca="1" si="46"/>
        <v>Engineering</v>
      </c>
      <c r="F142" s="3">
        <f t="shared" ca="1" si="47"/>
        <v>5</v>
      </c>
      <c r="G142" s="3" t="str">
        <f t="shared" ca="1" si="48"/>
        <v>Diploma</v>
      </c>
      <c r="H142" s="3">
        <f t="shared" ca="1" si="49"/>
        <v>0</v>
      </c>
      <c r="I142" s="3">
        <f t="shared" ca="1" si="50"/>
        <v>0</v>
      </c>
      <c r="J142" s="3">
        <f t="shared" ca="1" si="51"/>
        <v>19</v>
      </c>
      <c r="K142" s="3" t="str">
        <f t="shared" ca="1" si="52"/>
        <v>Mizoram</v>
      </c>
      <c r="L142" s="3">
        <f t="shared" ca="1" si="53"/>
        <v>50176</v>
      </c>
      <c r="M142" s="3">
        <f t="shared" ca="1" si="54"/>
        <v>351232</v>
      </c>
      <c r="N142" s="3">
        <f t="shared" ca="1" si="55"/>
        <v>235418.23443359204</v>
      </c>
      <c r="O142" s="3">
        <f t="shared" ca="1" si="56"/>
        <v>0</v>
      </c>
      <c r="P142" s="3">
        <f t="shared" ca="1" si="57"/>
        <v>0</v>
      </c>
      <c r="Q142" s="3">
        <f t="shared" ca="1" si="58"/>
        <v>6385.1145190250672</v>
      </c>
      <c r="R142" s="3">
        <f t="shared" ca="1" si="59"/>
        <v>2608.7691999404169</v>
      </c>
      <c r="S142" s="3">
        <f t="shared" ca="1" si="60"/>
        <v>353840.76919994043</v>
      </c>
      <c r="T142" s="3">
        <f t="shared" ca="1" si="61"/>
        <v>241803.34895261709</v>
      </c>
      <c r="U142" s="5">
        <f t="shared" ca="1" si="62"/>
        <v>112037.42024732335</v>
      </c>
    </row>
    <row r="143" spans="1:21" x14ac:dyDescent="0.35">
      <c r="A143">
        <f t="shared" ca="1" si="44"/>
        <v>2</v>
      </c>
      <c r="B143" s="4" t="str">
        <f t="shared" ca="1" si="42"/>
        <v>F</v>
      </c>
      <c r="C143" s="3">
        <f t="shared" ca="1" si="45"/>
        <v>2</v>
      </c>
      <c r="D143" s="3">
        <f t="shared" ca="1" si="43"/>
        <v>44</v>
      </c>
      <c r="E143" s="3" t="str">
        <f t="shared" ca="1" si="46"/>
        <v>Healthcare</v>
      </c>
      <c r="F143" s="3">
        <f t="shared" ca="1" si="47"/>
        <v>2</v>
      </c>
      <c r="G143" s="3" t="str">
        <f t="shared" ca="1" si="48"/>
        <v>Senior Secondary</v>
      </c>
      <c r="H143" s="3">
        <f t="shared" ca="1" si="49"/>
        <v>4</v>
      </c>
      <c r="I143" s="3">
        <f t="shared" ca="1" si="50"/>
        <v>3</v>
      </c>
      <c r="J143" s="3">
        <f t="shared" ca="1" si="51"/>
        <v>3</v>
      </c>
      <c r="K143" s="3" t="str">
        <f t="shared" ca="1" si="52"/>
        <v>Punjab</v>
      </c>
      <c r="L143" s="3">
        <f t="shared" ca="1" si="53"/>
        <v>45191</v>
      </c>
      <c r="M143" s="3">
        <f t="shared" ca="1" si="54"/>
        <v>271146</v>
      </c>
      <c r="N143" s="3">
        <f t="shared" ca="1" si="55"/>
        <v>24435.367378615068</v>
      </c>
      <c r="O143" s="3">
        <f t="shared" ca="1" si="56"/>
        <v>130811.63006836548</v>
      </c>
      <c r="P143" s="3">
        <f t="shared" ca="1" si="57"/>
        <v>60767.579232314711</v>
      </c>
      <c r="Q143" s="3">
        <f t="shared" ca="1" si="58"/>
        <v>14087.319770883614</v>
      </c>
      <c r="R143" s="3">
        <f t="shared" ca="1" si="59"/>
        <v>39639.01145341574</v>
      </c>
      <c r="S143" s="3">
        <f t="shared" ca="1" si="60"/>
        <v>441596.64152178122</v>
      </c>
      <c r="T143" s="3">
        <f t="shared" ca="1" si="61"/>
        <v>99290.266381813388</v>
      </c>
      <c r="U143" s="5">
        <f t="shared" ca="1" si="62"/>
        <v>342306.37513996783</v>
      </c>
    </row>
    <row r="144" spans="1:21" x14ac:dyDescent="0.35">
      <c r="A144">
        <f t="shared" ca="1" si="44"/>
        <v>2</v>
      </c>
      <c r="B144" s="4" t="str">
        <f t="shared" ca="1" si="42"/>
        <v>F</v>
      </c>
      <c r="C144" s="3">
        <f t="shared" ca="1" si="45"/>
        <v>5</v>
      </c>
      <c r="D144" s="3">
        <f t="shared" ca="1" si="43"/>
        <v>28</v>
      </c>
      <c r="E144" s="3" t="str">
        <f t="shared" ca="1" si="46"/>
        <v>Research</v>
      </c>
      <c r="F144" s="3">
        <f t="shared" ca="1" si="47"/>
        <v>5</v>
      </c>
      <c r="G144" s="3" t="str">
        <f t="shared" ca="1" si="48"/>
        <v>Diploma</v>
      </c>
      <c r="H144" s="3">
        <f t="shared" ca="1" si="49"/>
        <v>4</v>
      </c>
      <c r="I144" s="3">
        <f t="shared" ca="1" si="50"/>
        <v>1</v>
      </c>
      <c r="J144" s="3">
        <f t="shared" ca="1" si="51"/>
        <v>10</v>
      </c>
      <c r="K144" s="3" t="str">
        <f t="shared" ca="1" si="52"/>
        <v>Gujarat</v>
      </c>
      <c r="L144" s="3">
        <f t="shared" ca="1" si="53"/>
        <v>56120</v>
      </c>
      <c r="M144" s="3">
        <f t="shared" ca="1" si="54"/>
        <v>505080</v>
      </c>
      <c r="N144" s="3">
        <f t="shared" ca="1" si="55"/>
        <v>34912.048442060943</v>
      </c>
      <c r="O144" s="3">
        <f t="shared" ca="1" si="56"/>
        <v>27316.26521543858</v>
      </c>
      <c r="P144" s="3">
        <f t="shared" ca="1" si="57"/>
        <v>21066.439795921178</v>
      </c>
      <c r="Q144" s="3">
        <f t="shared" ca="1" si="58"/>
        <v>55787.47375449325</v>
      </c>
      <c r="R144" s="3">
        <f t="shared" ca="1" si="59"/>
        <v>10499.158246623552</v>
      </c>
      <c r="S144" s="3">
        <f t="shared" ca="1" si="60"/>
        <v>542895.42346206214</v>
      </c>
      <c r="T144" s="3">
        <f t="shared" ca="1" si="61"/>
        <v>111765.96199247538</v>
      </c>
      <c r="U144" s="5">
        <f t="shared" ca="1" si="62"/>
        <v>431129.46146958676</v>
      </c>
    </row>
    <row r="145" spans="1:21" x14ac:dyDescent="0.35">
      <c r="A145">
        <f t="shared" ca="1" si="44"/>
        <v>2</v>
      </c>
      <c r="B145" s="4" t="str">
        <f t="shared" ca="1" si="42"/>
        <v>F</v>
      </c>
      <c r="C145" s="3">
        <f t="shared" ca="1" si="45"/>
        <v>3</v>
      </c>
      <c r="D145" s="3">
        <f t="shared" ca="1" si="43"/>
        <v>43</v>
      </c>
      <c r="E145" s="3" t="str">
        <f t="shared" ca="1" si="46"/>
        <v>IT</v>
      </c>
      <c r="F145" s="3">
        <f t="shared" ca="1" si="47"/>
        <v>1</v>
      </c>
      <c r="G145" s="3" t="str">
        <f t="shared" ca="1" si="48"/>
        <v>Secondary</v>
      </c>
      <c r="H145" s="3">
        <f t="shared" ca="1" si="49"/>
        <v>4</v>
      </c>
      <c r="I145" s="3">
        <f t="shared" ca="1" si="50"/>
        <v>1</v>
      </c>
      <c r="J145" s="3">
        <f t="shared" ca="1" si="51"/>
        <v>26</v>
      </c>
      <c r="K145" s="3" t="str">
        <f t="shared" ca="1" si="52"/>
        <v>Tripura</v>
      </c>
      <c r="L145" s="3">
        <f t="shared" ca="1" si="53"/>
        <v>87966</v>
      </c>
      <c r="M145" s="3">
        <f t="shared" ca="1" si="54"/>
        <v>439830</v>
      </c>
      <c r="N145" s="3">
        <f t="shared" ca="1" si="55"/>
        <v>157098.94093577427</v>
      </c>
      <c r="O145" s="3">
        <f t="shared" ca="1" si="56"/>
        <v>84750.193387212217</v>
      </c>
      <c r="P145" s="3">
        <f t="shared" ca="1" si="57"/>
        <v>17070.174765584641</v>
      </c>
      <c r="Q145" s="3">
        <f t="shared" ca="1" si="58"/>
        <v>80328.055819832749</v>
      </c>
      <c r="R145" s="3">
        <f t="shared" ca="1" si="59"/>
        <v>48206.601164199143</v>
      </c>
      <c r="S145" s="3">
        <f t="shared" ca="1" si="60"/>
        <v>572786.79455141141</v>
      </c>
      <c r="T145" s="3">
        <f t="shared" ca="1" si="61"/>
        <v>254497.17152119166</v>
      </c>
      <c r="U145" s="5">
        <f t="shared" ca="1" si="62"/>
        <v>318289.62303021975</v>
      </c>
    </row>
    <row r="146" spans="1:21" x14ac:dyDescent="0.35">
      <c r="A146">
        <f t="shared" ca="1" si="44"/>
        <v>2</v>
      </c>
      <c r="B146" s="4" t="str">
        <f t="shared" ca="1" si="42"/>
        <v>F</v>
      </c>
      <c r="C146" s="3">
        <f t="shared" ca="1" si="45"/>
        <v>2</v>
      </c>
      <c r="D146" s="3">
        <f t="shared" ca="1" si="43"/>
        <v>40</v>
      </c>
      <c r="E146" s="3" t="str">
        <f t="shared" ca="1" si="46"/>
        <v>Healthcare</v>
      </c>
      <c r="F146" s="3">
        <f t="shared" ca="1" si="47"/>
        <v>3</v>
      </c>
      <c r="G146" s="3" t="str">
        <f t="shared" ca="1" si="48"/>
        <v>UG</v>
      </c>
      <c r="H146" s="3">
        <f t="shared" ca="1" si="49"/>
        <v>0</v>
      </c>
      <c r="I146" s="3">
        <f t="shared" ca="1" si="50"/>
        <v>0</v>
      </c>
      <c r="J146" s="3">
        <f t="shared" ca="1" si="51"/>
        <v>13</v>
      </c>
      <c r="K146" s="3" t="str">
        <f t="shared" ca="1" si="52"/>
        <v>Jharkhand</v>
      </c>
      <c r="L146" s="3">
        <f t="shared" ca="1" si="53"/>
        <v>94744</v>
      </c>
      <c r="M146" s="3">
        <f t="shared" ca="1" si="54"/>
        <v>473720</v>
      </c>
      <c r="N146" s="3">
        <f t="shared" ca="1" si="55"/>
        <v>175321.78248831443</v>
      </c>
      <c r="O146" s="3">
        <f t="shared" ca="1" si="56"/>
        <v>0</v>
      </c>
      <c r="P146" s="3">
        <f t="shared" ca="1" si="57"/>
        <v>0</v>
      </c>
      <c r="Q146" s="3">
        <f t="shared" ca="1" si="58"/>
        <v>72147.391738967737</v>
      </c>
      <c r="R146" s="3">
        <f t="shared" ca="1" si="59"/>
        <v>47615.803509374862</v>
      </c>
      <c r="S146" s="3">
        <f t="shared" ca="1" si="60"/>
        <v>521335.80350937485</v>
      </c>
      <c r="T146" s="3">
        <f t="shared" ca="1" si="61"/>
        <v>247469.17422728217</v>
      </c>
      <c r="U146" s="5">
        <f t="shared" ca="1" si="62"/>
        <v>273866.62928209268</v>
      </c>
    </row>
    <row r="147" spans="1:21" x14ac:dyDescent="0.35">
      <c r="A147">
        <f t="shared" ca="1" si="44"/>
        <v>2</v>
      </c>
      <c r="B147" s="4" t="str">
        <f t="shared" ca="1" si="42"/>
        <v>F</v>
      </c>
      <c r="C147" s="3">
        <f t="shared" ca="1" si="45"/>
        <v>2</v>
      </c>
      <c r="D147" s="3">
        <f t="shared" ca="1" si="43"/>
        <v>44</v>
      </c>
      <c r="E147" s="3" t="str">
        <f t="shared" ca="1" si="46"/>
        <v>Healthcare</v>
      </c>
      <c r="F147" s="3">
        <f t="shared" ca="1" si="47"/>
        <v>6</v>
      </c>
      <c r="G147" s="3" t="str">
        <f t="shared" ca="1" si="48"/>
        <v>Doctorate</v>
      </c>
      <c r="H147" s="3">
        <f t="shared" ca="1" si="49"/>
        <v>0</v>
      </c>
      <c r="I147" s="3">
        <f t="shared" ca="1" si="50"/>
        <v>0</v>
      </c>
      <c r="J147" s="3">
        <f t="shared" ca="1" si="51"/>
        <v>18</v>
      </c>
      <c r="K147" s="3" t="str">
        <f t="shared" ca="1" si="52"/>
        <v>Meghalya</v>
      </c>
      <c r="L147" s="3">
        <f t="shared" ca="1" si="53"/>
        <v>71735</v>
      </c>
      <c r="M147" s="3">
        <f t="shared" ca="1" si="54"/>
        <v>430410</v>
      </c>
      <c r="N147" s="3">
        <f t="shared" ca="1" si="55"/>
        <v>335902.80571660999</v>
      </c>
      <c r="O147" s="3">
        <f t="shared" ca="1" si="56"/>
        <v>0</v>
      </c>
      <c r="P147" s="3">
        <f t="shared" ca="1" si="57"/>
        <v>0</v>
      </c>
      <c r="Q147" s="3">
        <f t="shared" ca="1" si="58"/>
        <v>30659.632862768362</v>
      </c>
      <c r="R147" s="3">
        <f t="shared" ca="1" si="59"/>
        <v>6547.6027298773424</v>
      </c>
      <c r="S147" s="3">
        <f t="shared" ca="1" si="60"/>
        <v>436957.60272987734</v>
      </c>
      <c r="T147" s="3">
        <f t="shared" ca="1" si="61"/>
        <v>366562.43857937836</v>
      </c>
      <c r="U147" s="5">
        <f t="shared" ca="1" si="62"/>
        <v>70395.164150498982</v>
      </c>
    </row>
    <row r="148" spans="1:21" x14ac:dyDescent="0.35">
      <c r="A148">
        <f t="shared" ca="1" si="44"/>
        <v>2</v>
      </c>
      <c r="B148" s="4" t="str">
        <f t="shared" ca="1" si="42"/>
        <v>F</v>
      </c>
      <c r="C148" s="3">
        <f t="shared" ca="1" si="45"/>
        <v>5</v>
      </c>
      <c r="D148" s="3">
        <f t="shared" ca="1" si="43"/>
        <v>30</v>
      </c>
      <c r="E148" s="3" t="str">
        <f t="shared" ca="1" si="46"/>
        <v>Research</v>
      </c>
      <c r="F148" s="3">
        <f t="shared" ca="1" si="47"/>
        <v>3</v>
      </c>
      <c r="G148" s="3" t="str">
        <f t="shared" ca="1" si="48"/>
        <v>UG</v>
      </c>
      <c r="H148" s="3">
        <f t="shared" ca="1" si="49"/>
        <v>0</v>
      </c>
      <c r="I148" s="3">
        <f t="shared" ca="1" si="50"/>
        <v>0</v>
      </c>
      <c r="J148" s="3">
        <f t="shared" ca="1" si="51"/>
        <v>4</v>
      </c>
      <c r="K148" s="3" t="str">
        <f t="shared" ca="1" si="52"/>
        <v>Maharashtra</v>
      </c>
      <c r="L148" s="3">
        <f t="shared" ca="1" si="53"/>
        <v>79821</v>
      </c>
      <c r="M148" s="3">
        <f t="shared" ca="1" si="54"/>
        <v>718389</v>
      </c>
      <c r="N148" s="3">
        <f t="shared" ca="1" si="55"/>
        <v>443598.30133602401</v>
      </c>
      <c r="O148" s="3">
        <f t="shared" ca="1" si="56"/>
        <v>0</v>
      </c>
      <c r="P148" s="3">
        <f t="shared" ca="1" si="57"/>
        <v>0</v>
      </c>
      <c r="Q148" s="3">
        <f t="shared" ca="1" si="58"/>
        <v>26040.619512294041</v>
      </c>
      <c r="R148" s="3">
        <f t="shared" ca="1" si="59"/>
        <v>11958.594077534264</v>
      </c>
      <c r="S148" s="3">
        <f t="shared" ca="1" si="60"/>
        <v>730347.59407753428</v>
      </c>
      <c r="T148" s="3">
        <f t="shared" ca="1" si="61"/>
        <v>469638.92084831803</v>
      </c>
      <c r="U148" s="5">
        <f t="shared" ca="1" si="62"/>
        <v>260708.67322921625</v>
      </c>
    </row>
    <row r="149" spans="1:21" x14ac:dyDescent="0.35">
      <c r="A149">
        <f t="shared" ca="1" si="44"/>
        <v>2</v>
      </c>
      <c r="B149" s="4" t="str">
        <f t="shared" ca="1" si="42"/>
        <v>F</v>
      </c>
      <c r="C149" s="3">
        <f t="shared" ca="1" si="45"/>
        <v>5</v>
      </c>
      <c r="D149" s="3">
        <f t="shared" ca="1" si="43"/>
        <v>21</v>
      </c>
      <c r="E149" s="3" t="str">
        <f t="shared" ca="1" si="46"/>
        <v>Research</v>
      </c>
      <c r="F149" s="3">
        <f t="shared" ca="1" si="47"/>
        <v>7</v>
      </c>
      <c r="G149" s="3" t="str">
        <f t="shared" ca="1" si="48"/>
        <v>Other</v>
      </c>
      <c r="H149" s="3">
        <f t="shared" ca="1" si="49"/>
        <v>4</v>
      </c>
      <c r="I149" s="3">
        <f t="shared" ca="1" si="50"/>
        <v>0</v>
      </c>
      <c r="J149" s="3">
        <f t="shared" ca="1" si="51"/>
        <v>22</v>
      </c>
      <c r="K149" s="3" t="str">
        <f t="shared" ca="1" si="52"/>
        <v>Rajasthan</v>
      </c>
      <c r="L149" s="3">
        <f t="shared" ca="1" si="53"/>
        <v>82924</v>
      </c>
      <c r="M149" s="3">
        <f t="shared" ca="1" si="54"/>
        <v>746316</v>
      </c>
      <c r="N149" s="3">
        <f t="shared" ca="1" si="55"/>
        <v>618624.42122111924</v>
      </c>
      <c r="O149" s="3">
        <f t="shared" ca="1" si="56"/>
        <v>0</v>
      </c>
      <c r="P149" s="3">
        <f t="shared" ca="1" si="57"/>
        <v>0</v>
      </c>
      <c r="Q149" s="3">
        <f t="shared" ca="1" si="58"/>
        <v>79330.165258478082</v>
      </c>
      <c r="R149" s="3">
        <f t="shared" ca="1" si="59"/>
        <v>71823.65309953106</v>
      </c>
      <c r="S149" s="3">
        <f t="shared" ca="1" si="60"/>
        <v>818139.65309953107</v>
      </c>
      <c r="T149" s="3">
        <f t="shared" ca="1" si="61"/>
        <v>697954.58647959726</v>
      </c>
      <c r="U149" s="5">
        <f t="shared" ca="1" si="62"/>
        <v>120185.06661993382</v>
      </c>
    </row>
    <row r="150" spans="1:21" x14ac:dyDescent="0.35">
      <c r="A150">
        <f t="shared" ca="1" si="44"/>
        <v>1</v>
      </c>
      <c r="B150" s="4" t="str">
        <f t="shared" ca="1" si="42"/>
        <v>M</v>
      </c>
      <c r="C150" s="3">
        <f t="shared" ca="1" si="45"/>
        <v>5</v>
      </c>
      <c r="D150" s="3">
        <f t="shared" ca="1" si="43"/>
        <v>19</v>
      </c>
      <c r="E150" s="3" t="str">
        <f t="shared" ca="1" si="46"/>
        <v>Research</v>
      </c>
      <c r="F150" s="3">
        <f t="shared" ca="1" si="47"/>
        <v>5</v>
      </c>
      <c r="G150" s="3" t="str">
        <f t="shared" ca="1" si="48"/>
        <v>Diploma</v>
      </c>
      <c r="H150" s="3">
        <f t="shared" ca="1" si="49"/>
        <v>1</v>
      </c>
      <c r="I150" s="3">
        <f t="shared" ca="1" si="50"/>
        <v>0</v>
      </c>
      <c r="J150" s="3">
        <f t="shared" ca="1" si="51"/>
        <v>8</v>
      </c>
      <c r="K150" s="3" t="str">
        <f t="shared" ca="1" si="52"/>
        <v>Bihar</v>
      </c>
      <c r="L150" s="3">
        <f t="shared" ca="1" si="53"/>
        <v>51128</v>
      </c>
      <c r="M150" s="3">
        <f t="shared" ca="1" si="54"/>
        <v>255640</v>
      </c>
      <c r="N150" s="3">
        <f t="shared" ca="1" si="55"/>
        <v>41098.852474571075</v>
      </c>
      <c r="O150" s="3">
        <f t="shared" ca="1" si="56"/>
        <v>0</v>
      </c>
      <c r="P150" s="3">
        <f t="shared" ca="1" si="57"/>
        <v>0</v>
      </c>
      <c r="Q150" s="3">
        <f t="shared" ca="1" si="58"/>
        <v>33563.916389611331</v>
      </c>
      <c r="R150" s="3">
        <f t="shared" ca="1" si="59"/>
        <v>41306.019909502444</v>
      </c>
      <c r="S150" s="3">
        <f t="shared" ca="1" si="60"/>
        <v>296946.01990950247</v>
      </c>
      <c r="T150" s="3">
        <f t="shared" ca="1" si="61"/>
        <v>74662.768864182406</v>
      </c>
      <c r="U150" s="5">
        <f t="shared" ca="1" si="62"/>
        <v>222283.25104532007</v>
      </c>
    </row>
    <row r="151" spans="1:21" x14ac:dyDescent="0.35">
      <c r="A151">
        <f t="shared" ca="1" si="44"/>
        <v>1</v>
      </c>
      <c r="B151" s="4" t="str">
        <f t="shared" ca="1" si="42"/>
        <v>M</v>
      </c>
      <c r="C151" s="3">
        <f t="shared" ca="1" si="45"/>
        <v>3</v>
      </c>
      <c r="D151" s="3">
        <f t="shared" ca="1" si="43"/>
        <v>25</v>
      </c>
      <c r="E151" s="3" t="str">
        <f t="shared" ca="1" si="46"/>
        <v>IT</v>
      </c>
      <c r="F151" s="3">
        <f t="shared" ca="1" si="47"/>
        <v>5</v>
      </c>
      <c r="G151" s="3" t="str">
        <f t="shared" ca="1" si="48"/>
        <v>Diploma</v>
      </c>
      <c r="H151" s="3">
        <f t="shared" ca="1" si="49"/>
        <v>2</v>
      </c>
      <c r="I151" s="3">
        <f t="shared" ca="1" si="50"/>
        <v>2</v>
      </c>
      <c r="J151" s="3">
        <f t="shared" ca="1" si="51"/>
        <v>18</v>
      </c>
      <c r="K151" s="3" t="str">
        <f t="shared" ca="1" si="52"/>
        <v>Meghalya</v>
      </c>
      <c r="L151" s="3">
        <f t="shared" ca="1" si="53"/>
        <v>92961</v>
      </c>
      <c r="M151" s="3">
        <f t="shared" ca="1" si="54"/>
        <v>743688</v>
      </c>
      <c r="N151" s="3">
        <f t="shared" ca="1" si="55"/>
        <v>437597.27266807616</v>
      </c>
      <c r="O151" s="3">
        <f t="shared" ca="1" si="56"/>
        <v>96528.44398224949</v>
      </c>
      <c r="P151" s="3">
        <f t="shared" ca="1" si="57"/>
        <v>62581.533109773271</v>
      </c>
      <c r="Q151" s="3">
        <f t="shared" ca="1" si="58"/>
        <v>44198.895366623517</v>
      </c>
      <c r="R151" s="3">
        <f t="shared" ca="1" si="59"/>
        <v>20362.536657809953</v>
      </c>
      <c r="S151" s="3">
        <f t="shared" ca="1" si="60"/>
        <v>860578.98064005945</v>
      </c>
      <c r="T151" s="3">
        <f t="shared" ca="1" si="61"/>
        <v>544377.70114447293</v>
      </c>
      <c r="U151" s="5">
        <f t="shared" ca="1" si="62"/>
        <v>316201.27949558652</v>
      </c>
    </row>
    <row r="152" spans="1:21" x14ac:dyDescent="0.35">
      <c r="A152">
        <f t="shared" ca="1" si="44"/>
        <v>1</v>
      </c>
      <c r="B152" s="4" t="str">
        <f t="shared" ca="1" si="42"/>
        <v>M</v>
      </c>
      <c r="C152" s="3">
        <f t="shared" ca="1" si="45"/>
        <v>3</v>
      </c>
      <c r="D152" s="3">
        <f t="shared" ca="1" si="43"/>
        <v>38</v>
      </c>
      <c r="E152" s="3" t="str">
        <f t="shared" ca="1" si="46"/>
        <v>IT</v>
      </c>
      <c r="F152" s="3">
        <f t="shared" ca="1" si="47"/>
        <v>2</v>
      </c>
      <c r="G152" s="3" t="str">
        <f t="shared" ca="1" si="48"/>
        <v>Senior Secondary</v>
      </c>
      <c r="H152" s="3">
        <f t="shared" ca="1" si="49"/>
        <v>0</v>
      </c>
      <c r="I152" s="3">
        <f t="shared" ca="1" si="50"/>
        <v>0</v>
      </c>
      <c r="J152" s="3">
        <f t="shared" ca="1" si="51"/>
        <v>4</v>
      </c>
      <c r="K152" s="3" t="str">
        <f t="shared" ca="1" si="52"/>
        <v>Maharashtra</v>
      </c>
      <c r="L152" s="3">
        <f t="shared" ca="1" si="53"/>
        <v>57095</v>
      </c>
      <c r="M152" s="3">
        <f t="shared" ca="1" si="54"/>
        <v>285475</v>
      </c>
      <c r="N152" s="3">
        <f t="shared" ca="1" si="55"/>
        <v>230151.28742343883</v>
      </c>
      <c r="O152" s="3">
        <f t="shared" ca="1" si="56"/>
        <v>0</v>
      </c>
      <c r="P152" s="3">
        <f t="shared" ca="1" si="57"/>
        <v>0</v>
      </c>
      <c r="Q152" s="3">
        <f t="shared" ca="1" si="58"/>
        <v>27283.486173163699</v>
      </c>
      <c r="R152" s="3">
        <f t="shared" ca="1" si="59"/>
        <v>40494.327763589761</v>
      </c>
      <c r="S152" s="3">
        <f t="shared" ca="1" si="60"/>
        <v>325969.32776358974</v>
      </c>
      <c r="T152" s="3">
        <f t="shared" ca="1" si="61"/>
        <v>257434.77359660252</v>
      </c>
      <c r="U152" s="5">
        <f t="shared" ca="1" si="62"/>
        <v>68534.554166987218</v>
      </c>
    </row>
    <row r="153" spans="1:21" x14ac:dyDescent="0.35">
      <c r="A153">
        <f t="shared" ca="1" si="44"/>
        <v>1</v>
      </c>
      <c r="B153" s="4" t="str">
        <f t="shared" ca="1" si="42"/>
        <v>M</v>
      </c>
      <c r="C153" s="3">
        <f t="shared" ca="1" si="45"/>
        <v>3</v>
      </c>
      <c r="D153" s="3">
        <f t="shared" ca="1" si="43"/>
        <v>29</v>
      </c>
      <c r="E153" s="3" t="str">
        <f t="shared" ca="1" si="46"/>
        <v>IT</v>
      </c>
      <c r="F153" s="3">
        <f t="shared" ca="1" si="47"/>
        <v>6</v>
      </c>
      <c r="G153" s="3" t="str">
        <f t="shared" ca="1" si="48"/>
        <v>Doctorate</v>
      </c>
      <c r="H153" s="3">
        <f t="shared" ca="1" si="49"/>
        <v>4</v>
      </c>
      <c r="I153" s="3">
        <f t="shared" ca="1" si="50"/>
        <v>3</v>
      </c>
      <c r="J153" s="3">
        <f t="shared" ca="1" si="51"/>
        <v>15</v>
      </c>
      <c r="K153" s="3" t="str">
        <f t="shared" ca="1" si="52"/>
        <v>Kerela</v>
      </c>
      <c r="L153" s="3">
        <f t="shared" ca="1" si="53"/>
        <v>76566</v>
      </c>
      <c r="M153" s="3">
        <f t="shared" ca="1" si="54"/>
        <v>612528</v>
      </c>
      <c r="N153" s="3">
        <f t="shared" ca="1" si="55"/>
        <v>100066.52638559495</v>
      </c>
      <c r="O153" s="3">
        <f t="shared" ca="1" si="56"/>
        <v>158314.13497563079</v>
      </c>
      <c r="P153" s="3">
        <f t="shared" ca="1" si="57"/>
        <v>46201.071751665921</v>
      </c>
      <c r="Q153" s="3">
        <f t="shared" ca="1" si="58"/>
        <v>10726.574111903457</v>
      </c>
      <c r="R153" s="3">
        <f t="shared" ca="1" si="59"/>
        <v>42220.476428031121</v>
      </c>
      <c r="S153" s="3">
        <f t="shared" ca="1" si="60"/>
        <v>813062.6114036619</v>
      </c>
      <c r="T153" s="3">
        <f t="shared" ca="1" si="61"/>
        <v>156994.17224916434</v>
      </c>
      <c r="U153" s="5">
        <f t="shared" ca="1" si="62"/>
        <v>656068.43915449758</v>
      </c>
    </row>
    <row r="154" spans="1:21" x14ac:dyDescent="0.35">
      <c r="A154">
        <f t="shared" ca="1" si="44"/>
        <v>1</v>
      </c>
      <c r="B154" s="4" t="str">
        <f t="shared" ca="1" si="42"/>
        <v>M</v>
      </c>
      <c r="C154" s="3">
        <f t="shared" ca="1" si="45"/>
        <v>2</v>
      </c>
      <c r="D154" s="3">
        <f t="shared" ca="1" si="43"/>
        <v>43</v>
      </c>
      <c r="E154" s="3" t="str">
        <f t="shared" ca="1" si="46"/>
        <v>Healthcare</v>
      </c>
      <c r="F154" s="3">
        <f t="shared" ca="1" si="47"/>
        <v>5</v>
      </c>
      <c r="G154" s="3" t="str">
        <f t="shared" ca="1" si="48"/>
        <v>Diploma</v>
      </c>
      <c r="H154" s="3">
        <f t="shared" ca="1" si="49"/>
        <v>1</v>
      </c>
      <c r="I154" s="3">
        <f t="shared" ca="1" si="50"/>
        <v>2</v>
      </c>
      <c r="J154" s="3">
        <f t="shared" ca="1" si="51"/>
        <v>5</v>
      </c>
      <c r="K154" s="3" t="str">
        <f t="shared" ca="1" si="52"/>
        <v>Andhra Pradesh</v>
      </c>
      <c r="L154" s="3">
        <f t="shared" ca="1" si="53"/>
        <v>72992</v>
      </c>
      <c r="M154" s="3">
        <f t="shared" ca="1" si="54"/>
        <v>510944</v>
      </c>
      <c r="N154" s="3">
        <f t="shared" ca="1" si="55"/>
        <v>315945.6536815851</v>
      </c>
      <c r="O154" s="3">
        <f t="shared" ca="1" si="56"/>
        <v>141424.8401975873</v>
      </c>
      <c r="P154" s="3">
        <f t="shared" ca="1" si="57"/>
        <v>22393.921447973105</v>
      </c>
      <c r="Q154" s="3">
        <f t="shared" ca="1" si="58"/>
        <v>32740.308130626792</v>
      </c>
      <c r="R154" s="3">
        <f t="shared" ca="1" si="59"/>
        <v>68695.120393084173</v>
      </c>
      <c r="S154" s="3">
        <f t="shared" ca="1" si="60"/>
        <v>721063.9605906714</v>
      </c>
      <c r="T154" s="3">
        <f t="shared" ca="1" si="61"/>
        <v>371079.88326018502</v>
      </c>
      <c r="U154" s="5">
        <f t="shared" ca="1" si="62"/>
        <v>349984.07733048638</v>
      </c>
    </row>
    <row r="155" spans="1:21" x14ac:dyDescent="0.35">
      <c r="A155">
        <f t="shared" ca="1" si="44"/>
        <v>2</v>
      </c>
      <c r="B155" s="4" t="str">
        <f t="shared" ca="1" si="42"/>
        <v>F</v>
      </c>
      <c r="C155" s="3">
        <f t="shared" ca="1" si="45"/>
        <v>7</v>
      </c>
      <c r="D155" s="3">
        <f t="shared" ca="1" si="43"/>
        <v>32</v>
      </c>
      <c r="E155" s="3" t="str">
        <f t="shared" ca="1" si="46"/>
        <v>Other</v>
      </c>
      <c r="F155" s="3">
        <f t="shared" ca="1" si="47"/>
        <v>6</v>
      </c>
      <c r="G155" s="3" t="str">
        <f t="shared" ca="1" si="48"/>
        <v>Doctorate</v>
      </c>
      <c r="H155" s="3">
        <f t="shared" ca="1" si="49"/>
        <v>2</v>
      </c>
      <c r="I155" s="3">
        <f t="shared" ca="1" si="50"/>
        <v>2</v>
      </c>
      <c r="J155" s="3">
        <f t="shared" ca="1" si="51"/>
        <v>26</v>
      </c>
      <c r="K155" s="3" t="str">
        <f t="shared" ca="1" si="52"/>
        <v>Tripura</v>
      </c>
      <c r="L155" s="3">
        <f t="shared" ca="1" si="53"/>
        <v>31324</v>
      </c>
      <c r="M155" s="3">
        <f t="shared" ca="1" si="54"/>
        <v>156620</v>
      </c>
      <c r="N155" s="3">
        <f t="shared" ca="1" si="55"/>
        <v>77622.64267882242</v>
      </c>
      <c r="O155" s="3">
        <f t="shared" ca="1" si="56"/>
        <v>38109.385767339088</v>
      </c>
      <c r="P155" s="3">
        <f t="shared" ca="1" si="57"/>
        <v>10691.111235618897</v>
      </c>
      <c r="Q155" s="3">
        <f t="shared" ca="1" si="58"/>
        <v>20543.731530769914</v>
      </c>
      <c r="R155" s="3">
        <f t="shared" ca="1" si="59"/>
        <v>22746.841898859038</v>
      </c>
      <c r="S155" s="3">
        <f t="shared" ca="1" si="60"/>
        <v>217476.22766619813</v>
      </c>
      <c r="T155" s="3">
        <f t="shared" ca="1" si="61"/>
        <v>108857.48544521123</v>
      </c>
      <c r="U155" s="5">
        <f t="shared" ca="1" si="62"/>
        <v>108618.7422209869</v>
      </c>
    </row>
    <row r="156" spans="1:21" x14ac:dyDescent="0.35">
      <c r="A156">
        <f t="shared" ca="1" si="44"/>
        <v>1</v>
      </c>
      <c r="B156" s="4" t="str">
        <f t="shared" ca="1" si="42"/>
        <v>M</v>
      </c>
      <c r="C156" s="3">
        <f t="shared" ca="1" si="45"/>
        <v>2</v>
      </c>
      <c r="D156" s="3">
        <f t="shared" ca="1" si="43"/>
        <v>45</v>
      </c>
      <c r="E156" s="3" t="str">
        <f t="shared" ca="1" si="46"/>
        <v>Healthcare</v>
      </c>
      <c r="F156" s="3">
        <f t="shared" ca="1" si="47"/>
        <v>1</v>
      </c>
      <c r="G156" s="3" t="str">
        <f t="shared" ca="1" si="48"/>
        <v>Secondary</v>
      </c>
      <c r="H156" s="3">
        <f t="shared" ca="1" si="49"/>
        <v>4</v>
      </c>
      <c r="I156" s="3">
        <f t="shared" ca="1" si="50"/>
        <v>2</v>
      </c>
      <c r="J156" s="3">
        <f t="shared" ca="1" si="51"/>
        <v>5</v>
      </c>
      <c r="K156" s="3" t="str">
        <f t="shared" ca="1" si="52"/>
        <v>Andhra Pradesh</v>
      </c>
      <c r="L156" s="3">
        <f t="shared" ca="1" si="53"/>
        <v>62341</v>
      </c>
      <c r="M156" s="3">
        <f t="shared" ca="1" si="54"/>
        <v>311705</v>
      </c>
      <c r="N156" s="3">
        <f t="shared" ca="1" si="55"/>
        <v>119147.11615616779</v>
      </c>
      <c r="O156" s="3">
        <f t="shared" ca="1" si="56"/>
        <v>111002.2573633335</v>
      </c>
      <c r="P156" s="3">
        <f t="shared" ca="1" si="57"/>
        <v>107085.83493206481</v>
      </c>
      <c r="Q156" s="3">
        <f t="shared" ca="1" si="58"/>
        <v>3427.8056784772821</v>
      </c>
      <c r="R156" s="3">
        <f t="shared" ca="1" si="59"/>
        <v>17450.381205334274</v>
      </c>
      <c r="S156" s="3">
        <f t="shared" ca="1" si="60"/>
        <v>440157.63856866775</v>
      </c>
      <c r="T156" s="3">
        <f t="shared" ca="1" si="61"/>
        <v>229660.75676670988</v>
      </c>
      <c r="U156" s="5">
        <f t="shared" ca="1" si="62"/>
        <v>210496.88180195788</v>
      </c>
    </row>
    <row r="157" spans="1:21" x14ac:dyDescent="0.35">
      <c r="A157">
        <f t="shared" ca="1" si="44"/>
        <v>1</v>
      </c>
      <c r="B157" s="4" t="str">
        <f t="shared" ca="1" si="42"/>
        <v>M</v>
      </c>
      <c r="C157" s="3">
        <f t="shared" ca="1" si="45"/>
        <v>1</v>
      </c>
      <c r="D157" s="3">
        <f t="shared" ca="1" si="43"/>
        <v>31</v>
      </c>
      <c r="E157" s="3" t="str">
        <f t="shared" ca="1" si="46"/>
        <v>Engineering</v>
      </c>
      <c r="F157" s="3">
        <f t="shared" ca="1" si="47"/>
        <v>1</v>
      </c>
      <c r="G157" s="3" t="str">
        <f t="shared" ca="1" si="48"/>
        <v>Secondary</v>
      </c>
      <c r="H157" s="3">
        <f t="shared" ca="1" si="49"/>
        <v>0</v>
      </c>
      <c r="I157" s="3">
        <f t="shared" ca="1" si="50"/>
        <v>3</v>
      </c>
      <c r="J157" s="3">
        <f t="shared" ca="1" si="51"/>
        <v>19</v>
      </c>
      <c r="K157" s="3" t="str">
        <f t="shared" ca="1" si="52"/>
        <v>Mizoram</v>
      </c>
      <c r="L157" s="3">
        <f t="shared" ca="1" si="53"/>
        <v>85125</v>
      </c>
      <c r="M157" s="3">
        <f t="shared" ca="1" si="54"/>
        <v>766125</v>
      </c>
      <c r="N157" s="3">
        <f t="shared" ca="1" si="55"/>
        <v>629538.52219643514</v>
      </c>
      <c r="O157" s="3">
        <f t="shared" ca="1" si="56"/>
        <v>137869.0271509263</v>
      </c>
      <c r="P157" s="3">
        <f t="shared" ca="1" si="57"/>
        <v>92673.23344441576</v>
      </c>
      <c r="Q157" s="3">
        <f t="shared" ca="1" si="58"/>
        <v>10087.643783900998</v>
      </c>
      <c r="R157" s="3">
        <f t="shared" ca="1" si="59"/>
        <v>61622.32619264556</v>
      </c>
      <c r="S157" s="3">
        <f t="shared" ca="1" si="60"/>
        <v>965616.35334357189</v>
      </c>
      <c r="T157" s="3">
        <f t="shared" ca="1" si="61"/>
        <v>732299.39942475187</v>
      </c>
      <c r="U157" s="5">
        <f t="shared" ca="1" si="62"/>
        <v>233316.95391882001</v>
      </c>
    </row>
    <row r="158" spans="1:21" x14ac:dyDescent="0.35">
      <c r="A158">
        <f t="shared" ca="1" si="44"/>
        <v>1</v>
      </c>
      <c r="B158" s="4" t="str">
        <f t="shared" ca="1" si="42"/>
        <v>M</v>
      </c>
      <c r="C158" s="3">
        <f t="shared" ca="1" si="45"/>
        <v>5</v>
      </c>
      <c r="D158" s="3">
        <f t="shared" ca="1" si="43"/>
        <v>45</v>
      </c>
      <c r="E158" s="3" t="str">
        <f t="shared" ca="1" si="46"/>
        <v>Research</v>
      </c>
      <c r="F158" s="3">
        <f t="shared" ca="1" si="47"/>
        <v>5</v>
      </c>
      <c r="G158" s="3" t="str">
        <f t="shared" ca="1" si="48"/>
        <v>Diploma</v>
      </c>
      <c r="H158" s="3">
        <f t="shared" ca="1" si="49"/>
        <v>4</v>
      </c>
      <c r="I158" s="3">
        <f t="shared" ca="1" si="50"/>
        <v>3</v>
      </c>
      <c r="J158" s="3">
        <f t="shared" ca="1" si="51"/>
        <v>21</v>
      </c>
      <c r="K158" s="3" t="str">
        <f t="shared" ca="1" si="52"/>
        <v>Odisha</v>
      </c>
      <c r="L158" s="3">
        <f t="shared" ca="1" si="53"/>
        <v>93080</v>
      </c>
      <c r="M158" s="3">
        <f t="shared" ca="1" si="54"/>
        <v>558480</v>
      </c>
      <c r="N158" s="3">
        <f t="shared" ca="1" si="55"/>
        <v>496739.49549703917</v>
      </c>
      <c r="O158" s="3">
        <f t="shared" ca="1" si="56"/>
        <v>157804.20143512386</v>
      </c>
      <c r="P158" s="3">
        <f t="shared" ca="1" si="57"/>
        <v>88222.022833071096</v>
      </c>
      <c r="Q158" s="3">
        <f t="shared" ca="1" si="58"/>
        <v>7214.0072071205132</v>
      </c>
      <c r="R158" s="3">
        <f t="shared" ca="1" si="59"/>
        <v>75481.641425555645</v>
      </c>
      <c r="S158" s="3">
        <f t="shared" ca="1" si="60"/>
        <v>791765.84286067949</v>
      </c>
      <c r="T158" s="3">
        <f t="shared" ca="1" si="61"/>
        <v>592175.52553723077</v>
      </c>
      <c r="U158" s="5">
        <f t="shared" ca="1" si="62"/>
        <v>199590.31732344872</v>
      </c>
    </row>
    <row r="159" spans="1:21" x14ac:dyDescent="0.35">
      <c r="A159">
        <f t="shared" ca="1" si="44"/>
        <v>2</v>
      </c>
      <c r="B159" s="4" t="str">
        <f t="shared" ca="1" si="42"/>
        <v>F</v>
      </c>
      <c r="C159" s="3">
        <f t="shared" ca="1" si="45"/>
        <v>2</v>
      </c>
      <c r="D159" s="3">
        <f t="shared" ca="1" si="43"/>
        <v>36</v>
      </c>
      <c r="E159" s="3" t="str">
        <f t="shared" ca="1" si="46"/>
        <v>Healthcare</v>
      </c>
      <c r="F159" s="3">
        <f t="shared" ca="1" si="47"/>
        <v>6</v>
      </c>
      <c r="G159" s="3" t="str">
        <f t="shared" ca="1" si="48"/>
        <v>Doctorate</v>
      </c>
      <c r="H159" s="3">
        <f t="shared" ca="1" si="49"/>
        <v>4</v>
      </c>
      <c r="I159" s="3">
        <f t="shared" ca="1" si="50"/>
        <v>0</v>
      </c>
      <c r="J159" s="3">
        <f t="shared" ca="1" si="51"/>
        <v>3</v>
      </c>
      <c r="K159" s="3" t="str">
        <f t="shared" ca="1" si="52"/>
        <v>Punjab</v>
      </c>
      <c r="L159" s="3">
        <f t="shared" ca="1" si="53"/>
        <v>85680</v>
      </c>
      <c r="M159" s="3">
        <f t="shared" ca="1" si="54"/>
        <v>514080</v>
      </c>
      <c r="N159" s="3">
        <f t="shared" ca="1" si="55"/>
        <v>73402.848044957296</v>
      </c>
      <c r="O159" s="3">
        <f t="shared" ca="1" si="56"/>
        <v>0</v>
      </c>
      <c r="P159" s="3">
        <f t="shared" ca="1" si="57"/>
        <v>0</v>
      </c>
      <c r="Q159" s="3">
        <f t="shared" ca="1" si="58"/>
        <v>81926.441308396446</v>
      </c>
      <c r="R159" s="3">
        <f t="shared" ca="1" si="59"/>
        <v>42286.098255490382</v>
      </c>
      <c r="S159" s="3">
        <f t="shared" ca="1" si="60"/>
        <v>556366.09825549042</v>
      </c>
      <c r="T159" s="3">
        <f t="shared" ca="1" si="61"/>
        <v>155329.28935335373</v>
      </c>
      <c r="U159" s="5">
        <f t="shared" ca="1" si="62"/>
        <v>401036.80890213669</v>
      </c>
    </row>
    <row r="160" spans="1:21" x14ac:dyDescent="0.35">
      <c r="A160">
        <f t="shared" ca="1" si="44"/>
        <v>1</v>
      </c>
      <c r="B160" s="4" t="str">
        <f t="shared" ca="1" si="42"/>
        <v>M</v>
      </c>
      <c r="C160" s="3">
        <f t="shared" ca="1" si="45"/>
        <v>6</v>
      </c>
      <c r="D160" s="3">
        <f t="shared" ca="1" si="43"/>
        <v>23</v>
      </c>
      <c r="E160" s="3" t="str">
        <f t="shared" ca="1" si="46"/>
        <v>Art</v>
      </c>
      <c r="F160" s="3">
        <f t="shared" ca="1" si="47"/>
        <v>7</v>
      </c>
      <c r="G160" s="3" t="str">
        <f t="shared" ca="1" si="48"/>
        <v>Other</v>
      </c>
      <c r="H160" s="3">
        <f t="shared" ca="1" si="49"/>
        <v>2</v>
      </c>
      <c r="I160" s="3">
        <f t="shared" ca="1" si="50"/>
        <v>1</v>
      </c>
      <c r="J160" s="3">
        <f t="shared" ca="1" si="51"/>
        <v>18</v>
      </c>
      <c r="K160" s="3" t="str">
        <f t="shared" ca="1" si="52"/>
        <v>Meghalya</v>
      </c>
      <c r="L160" s="3">
        <f t="shared" ca="1" si="53"/>
        <v>38598</v>
      </c>
      <c r="M160" s="3">
        <f t="shared" ca="1" si="54"/>
        <v>308784</v>
      </c>
      <c r="N160" s="3">
        <f t="shared" ca="1" si="55"/>
        <v>210383.21704964622</v>
      </c>
      <c r="O160" s="3">
        <f t="shared" ca="1" si="56"/>
        <v>29805.530484244526</v>
      </c>
      <c r="P160" s="3">
        <f t="shared" ca="1" si="57"/>
        <v>7600.3240567524599</v>
      </c>
      <c r="Q160" s="3">
        <f t="shared" ca="1" si="58"/>
        <v>4657.9423549754883</v>
      </c>
      <c r="R160" s="3">
        <f t="shared" ca="1" si="59"/>
        <v>13006.16839175353</v>
      </c>
      <c r="S160" s="3">
        <f t="shared" ca="1" si="60"/>
        <v>351595.69887599803</v>
      </c>
      <c r="T160" s="3">
        <f t="shared" ca="1" si="61"/>
        <v>222641.48346137418</v>
      </c>
      <c r="U160" s="5">
        <f t="shared" ca="1" si="62"/>
        <v>128954.21541462385</v>
      </c>
    </row>
    <row r="161" spans="1:21" x14ac:dyDescent="0.35">
      <c r="A161">
        <f t="shared" ca="1" si="44"/>
        <v>2</v>
      </c>
      <c r="B161" s="4" t="str">
        <f t="shared" ca="1" si="42"/>
        <v>F</v>
      </c>
      <c r="C161" s="3">
        <f t="shared" ca="1" si="45"/>
        <v>6</v>
      </c>
      <c r="D161" s="3">
        <f t="shared" ca="1" si="43"/>
        <v>27</v>
      </c>
      <c r="E161" s="3" t="str">
        <f t="shared" ca="1" si="46"/>
        <v>Art</v>
      </c>
      <c r="F161" s="3">
        <f t="shared" ca="1" si="47"/>
        <v>6</v>
      </c>
      <c r="G161" s="3" t="str">
        <f t="shared" ca="1" si="48"/>
        <v>Doctorate</v>
      </c>
      <c r="H161" s="3">
        <f t="shared" ca="1" si="49"/>
        <v>0</v>
      </c>
      <c r="I161" s="3">
        <f t="shared" ca="1" si="50"/>
        <v>0</v>
      </c>
      <c r="J161" s="3">
        <f t="shared" ca="1" si="51"/>
        <v>2</v>
      </c>
      <c r="K161" s="3" t="str">
        <f t="shared" ca="1" si="52"/>
        <v>Uttar Pradesh</v>
      </c>
      <c r="L161" s="3">
        <f t="shared" ca="1" si="53"/>
        <v>71779</v>
      </c>
      <c r="M161" s="3">
        <f t="shared" ca="1" si="54"/>
        <v>358895</v>
      </c>
      <c r="N161" s="3">
        <f t="shared" ca="1" si="55"/>
        <v>124826.66251629348</v>
      </c>
      <c r="O161" s="3">
        <f t="shared" ca="1" si="56"/>
        <v>0</v>
      </c>
      <c r="P161" s="3">
        <f t="shared" ca="1" si="57"/>
        <v>0</v>
      </c>
      <c r="Q161" s="3">
        <f t="shared" ca="1" si="58"/>
        <v>15598.082273231708</v>
      </c>
      <c r="R161" s="3">
        <f t="shared" ca="1" si="59"/>
        <v>65905.007261728446</v>
      </c>
      <c r="S161" s="3">
        <f t="shared" ca="1" si="60"/>
        <v>424800.00726172846</v>
      </c>
      <c r="T161" s="3">
        <f t="shared" ca="1" si="61"/>
        <v>140424.7447895252</v>
      </c>
      <c r="U161" s="5">
        <f t="shared" ca="1" si="62"/>
        <v>284375.26247220323</v>
      </c>
    </row>
    <row r="162" spans="1:21" x14ac:dyDescent="0.35">
      <c r="A162">
        <f t="shared" ca="1" si="44"/>
        <v>1</v>
      </c>
      <c r="B162" s="4" t="str">
        <f t="shared" ca="1" si="42"/>
        <v>M</v>
      </c>
      <c r="C162" s="3">
        <f t="shared" ca="1" si="45"/>
        <v>3</v>
      </c>
      <c r="D162" s="3">
        <f t="shared" ca="1" si="43"/>
        <v>20</v>
      </c>
      <c r="E162" s="3" t="str">
        <f t="shared" ca="1" si="46"/>
        <v>IT</v>
      </c>
      <c r="F162" s="3">
        <f t="shared" ca="1" si="47"/>
        <v>4</v>
      </c>
      <c r="G162" s="3" t="str">
        <f t="shared" ca="1" si="48"/>
        <v>PG</v>
      </c>
      <c r="H162" s="3">
        <f t="shared" ca="1" si="49"/>
        <v>3</v>
      </c>
      <c r="I162" s="3">
        <f t="shared" ca="1" si="50"/>
        <v>1</v>
      </c>
      <c r="J162" s="3">
        <f t="shared" ca="1" si="51"/>
        <v>10</v>
      </c>
      <c r="K162" s="3" t="str">
        <f t="shared" ca="1" si="52"/>
        <v>Gujarat</v>
      </c>
      <c r="L162" s="3">
        <f t="shared" ca="1" si="53"/>
        <v>26776</v>
      </c>
      <c r="M162" s="3">
        <f t="shared" ca="1" si="54"/>
        <v>240984</v>
      </c>
      <c r="N162" s="3">
        <f t="shared" ca="1" si="55"/>
        <v>164341.75359950698</v>
      </c>
      <c r="O162" s="3">
        <f t="shared" ca="1" si="56"/>
        <v>17143.62103127774</v>
      </c>
      <c r="P162" s="3">
        <f t="shared" ca="1" si="57"/>
        <v>179.64416238471486</v>
      </c>
      <c r="Q162" s="3">
        <f t="shared" ca="1" si="58"/>
        <v>5682.1941186966405</v>
      </c>
      <c r="R162" s="3">
        <f t="shared" ca="1" si="59"/>
        <v>385.65348914982394</v>
      </c>
      <c r="S162" s="3">
        <f t="shared" ca="1" si="60"/>
        <v>258513.27452042757</v>
      </c>
      <c r="T162" s="3">
        <f t="shared" ca="1" si="61"/>
        <v>170203.59188058833</v>
      </c>
      <c r="U162" s="5">
        <f t="shared" ca="1" si="62"/>
        <v>88309.682639839244</v>
      </c>
    </row>
    <row r="163" spans="1:21" x14ac:dyDescent="0.35">
      <c r="A163">
        <f t="shared" ca="1" si="44"/>
        <v>1</v>
      </c>
      <c r="B163" s="4" t="str">
        <f t="shared" ca="1" si="42"/>
        <v>M</v>
      </c>
      <c r="C163" s="3">
        <f t="shared" ca="1" si="45"/>
        <v>2</v>
      </c>
      <c r="D163" s="3">
        <f t="shared" ca="1" si="43"/>
        <v>35</v>
      </c>
      <c r="E163" s="3" t="str">
        <f t="shared" ca="1" si="46"/>
        <v>Healthcare</v>
      </c>
      <c r="F163" s="3">
        <f t="shared" ca="1" si="47"/>
        <v>4</v>
      </c>
      <c r="G163" s="3" t="str">
        <f t="shared" ca="1" si="48"/>
        <v>PG</v>
      </c>
      <c r="H163" s="3">
        <f t="shared" ca="1" si="49"/>
        <v>0</v>
      </c>
      <c r="I163" s="3">
        <f t="shared" ca="1" si="50"/>
        <v>1</v>
      </c>
      <c r="J163" s="3">
        <f t="shared" ca="1" si="51"/>
        <v>21</v>
      </c>
      <c r="K163" s="3" t="str">
        <f t="shared" ca="1" si="52"/>
        <v>Odisha</v>
      </c>
      <c r="L163" s="3">
        <f t="shared" ca="1" si="53"/>
        <v>43753</v>
      </c>
      <c r="M163" s="3">
        <f t="shared" ca="1" si="54"/>
        <v>306271</v>
      </c>
      <c r="N163" s="3">
        <f t="shared" ca="1" si="55"/>
        <v>97352.982692713093</v>
      </c>
      <c r="O163" s="3">
        <f t="shared" ca="1" si="56"/>
        <v>7430.3034041074443</v>
      </c>
      <c r="P163" s="3">
        <f t="shared" ca="1" si="57"/>
        <v>338.63464017575393</v>
      </c>
      <c r="Q163" s="3">
        <f t="shared" ca="1" si="58"/>
        <v>42451.812163368755</v>
      </c>
      <c r="R163" s="3">
        <f t="shared" ca="1" si="59"/>
        <v>2652.7268239416203</v>
      </c>
      <c r="S163" s="3">
        <f t="shared" ca="1" si="60"/>
        <v>316354.03022804909</v>
      </c>
      <c r="T163" s="3">
        <f t="shared" ca="1" si="61"/>
        <v>140143.4294962576</v>
      </c>
      <c r="U163" s="5">
        <f t="shared" ca="1" si="62"/>
        <v>176210.60073179149</v>
      </c>
    </row>
    <row r="164" spans="1:21" x14ac:dyDescent="0.35">
      <c r="A164">
        <f t="shared" ca="1" si="44"/>
        <v>2</v>
      </c>
      <c r="B164" s="4" t="str">
        <f t="shared" ca="1" si="42"/>
        <v>F</v>
      </c>
      <c r="C164" s="3">
        <f t="shared" ca="1" si="45"/>
        <v>4</v>
      </c>
      <c r="D164" s="3">
        <f t="shared" ca="1" si="43"/>
        <v>41</v>
      </c>
      <c r="E164" s="3" t="str">
        <f t="shared" ca="1" si="46"/>
        <v>Accounting</v>
      </c>
      <c r="F164" s="3">
        <f t="shared" ca="1" si="47"/>
        <v>2</v>
      </c>
      <c r="G164" s="3" t="str">
        <f t="shared" ca="1" si="48"/>
        <v>Senior Secondary</v>
      </c>
      <c r="H164" s="3">
        <f t="shared" ca="1" si="49"/>
        <v>2</v>
      </c>
      <c r="I164" s="3">
        <f t="shared" ca="1" si="50"/>
        <v>0</v>
      </c>
      <c r="J164" s="3">
        <f t="shared" ca="1" si="51"/>
        <v>8</v>
      </c>
      <c r="K164" s="3" t="str">
        <f t="shared" ca="1" si="52"/>
        <v>Bihar</v>
      </c>
      <c r="L164" s="3">
        <f t="shared" ca="1" si="53"/>
        <v>98741</v>
      </c>
      <c r="M164" s="3">
        <f t="shared" ca="1" si="54"/>
        <v>592446</v>
      </c>
      <c r="N164" s="3">
        <f t="shared" ca="1" si="55"/>
        <v>314479.32907180703</v>
      </c>
      <c r="O164" s="3">
        <f t="shared" ca="1" si="56"/>
        <v>0</v>
      </c>
      <c r="P164" s="3">
        <f t="shared" ca="1" si="57"/>
        <v>0</v>
      </c>
      <c r="Q164" s="3">
        <f t="shared" ca="1" si="58"/>
        <v>448.87691206993065</v>
      </c>
      <c r="R164" s="3">
        <f t="shared" ca="1" si="59"/>
        <v>41906.072961630089</v>
      </c>
      <c r="S164" s="3">
        <f t="shared" ca="1" si="60"/>
        <v>634352.07296163007</v>
      </c>
      <c r="T164" s="3">
        <f t="shared" ca="1" si="61"/>
        <v>314928.20598387695</v>
      </c>
      <c r="U164" s="5">
        <f t="shared" ca="1" si="62"/>
        <v>319423.86697775312</v>
      </c>
    </row>
    <row r="165" spans="1:21" x14ac:dyDescent="0.35">
      <c r="A165">
        <f t="shared" ca="1" si="44"/>
        <v>2</v>
      </c>
      <c r="B165" s="4" t="str">
        <f t="shared" ca="1" si="42"/>
        <v>F</v>
      </c>
      <c r="C165" s="3">
        <f t="shared" ca="1" si="45"/>
        <v>6</v>
      </c>
      <c r="D165" s="3">
        <f t="shared" ca="1" si="43"/>
        <v>24</v>
      </c>
      <c r="E165" s="3" t="str">
        <f t="shared" ca="1" si="46"/>
        <v>Art</v>
      </c>
      <c r="F165" s="3">
        <f t="shared" ca="1" si="47"/>
        <v>4</v>
      </c>
      <c r="G165" s="3" t="str">
        <f t="shared" ca="1" si="48"/>
        <v>PG</v>
      </c>
      <c r="H165" s="3">
        <f t="shared" ca="1" si="49"/>
        <v>4</v>
      </c>
      <c r="I165" s="3">
        <f t="shared" ca="1" si="50"/>
        <v>2</v>
      </c>
      <c r="J165" s="3">
        <f t="shared" ca="1" si="51"/>
        <v>24</v>
      </c>
      <c r="K165" s="3" t="str">
        <f t="shared" ca="1" si="52"/>
        <v>Tamil Nadu</v>
      </c>
      <c r="L165" s="3">
        <f t="shared" ca="1" si="53"/>
        <v>78359</v>
      </c>
      <c r="M165" s="3">
        <f t="shared" ca="1" si="54"/>
        <v>705231</v>
      </c>
      <c r="N165" s="3">
        <f t="shared" ca="1" si="55"/>
        <v>18714.951531112576</v>
      </c>
      <c r="O165" s="3">
        <f t="shared" ca="1" si="56"/>
        <v>113267.29883306051</v>
      </c>
      <c r="P165" s="3">
        <f t="shared" ca="1" si="57"/>
        <v>39211.521062631356</v>
      </c>
      <c r="Q165" s="3">
        <f t="shared" ca="1" si="58"/>
        <v>8468.2235799886566</v>
      </c>
      <c r="R165" s="3">
        <f t="shared" ca="1" si="59"/>
        <v>14501.307026254855</v>
      </c>
      <c r="S165" s="3">
        <f t="shared" ca="1" si="60"/>
        <v>832999.60585931537</v>
      </c>
      <c r="T165" s="3">
        <f t="shared" ca="1" si="61"/>
        <v>66394.696173732591</v>
      </c>
      <c r="U165" s="5">
        <f t="shared" ca="1" si="62"/>
        <v>766604.90968558274</v>
      </c>
    </row>
    <row r="166" spans="1:21" x14ac:dyDescent="0.35">
      <c r="A166">
        <f t="shared" ca="1" si="44"/>
        <v>2</v>
      </c>
      <c r="B166" s="4" t="str">
        <f t="shared" ca="1" si="42"/>
        <v>F</v>
      </c>
      <c r="C166" s="3">
        <f t="shared" ca="1" si="45"/>
        <v>2</v>
      </c>
      <c r="D166" s="3">
        <f t="shared" ca="1" si="43"/>
        <v>29</v>
      </c>
      <c r="E166" s="3" t="str">
        <f t="shared" ca="1" si="46"/>
        <v>Healthcare</v>
      </c>
      <c r="F166" s="3">
        <f t="shared" ca="1" si="47"/>
        <v>2</v>
      </c>
      <c r="G166" s="3" t="str">
        <f t="shared" ca="1" si="48"/>
        <v>Senior Secondary</v>
      </c>
      <c r="H166" s="3">
        <f t="shared" ca="1" si="49"/>
        <v>1</v>
      </c>
      <c r="I166" s="3">
        <f t="shared" ca="1" si="50"/>
        <v>3</v>
      </c>
      <c r="J166" s="3">
        <f t="shared" ca="1" si="51"/>
        <v>15</v>
      </c>
      <c r="K166" s="3" t="str">
        <f t="shared" ca="1" si="52"/>
        <v>Kerela</v>
      </c>
      <c r="L166" s="3">
        <f t="shared" ca="1" si="53"/>
        <v>93867</v>
      </c>
      <c r="M166" s="3">
        <f t="shared" ca="1" si="54"/>
        <v>563202</v>
      </c>
      <c r="N166" s="3">
        <f t="shared" ca="1" si="55"/>
        <v>4391.6877514019161</v>
      </c>
      <c r="O166" s="3">
        <f t="shared" ca="1" si="56"/>
        <v>160649.6481990063</v>
      </c>
      <c r="P166" s="3">
        <f t="shared" ca="1" si="57"/>
        <v>124886.58770013819</v>
      </c>
      <c r="Q166" s="3">
        <f t="shared" ca="1" si="58"/>
        <v>85524.541088768703</v>
      </c>
      <c r="R166" s="3">
        <f t="shared" ca="1" si="59"/>
        <v>83236.999791426904</v>
      </c>
      <c r="S166" s="3">
        <f t="shared" ca="1" si="60"/>
        <v>807088.64799043327</v>
      </c>
      <c r="T166" s="3">
        <f t="shared" ca="1" si="61"/>
        <v>214802.81654030882</v>
      </c>
      <c r="U166" s="5">
        <f t="shared" ca="1" si="62"/>
        <v>592285.8314501245</v>
      </c>
    </row>
    <row r="167" spans="1:21" x14ac:dyDescent="0.35">
      <c r="A167">
        <f t="shared" ca="1" si="44"/>
        <v>2</v>
      </c>
      <c r="B167" s="4" t="str">
        <f t="shared" ca="1" si="42"/>
        <v>F</v>
      </c>
      <c r="C167" s="3">
        <f t="shared" ca="1" si="45"/>
        <v>2</v>
      </c>
      <c r="D167" s="3">
        <f t="shared" ca="1" si="43"/>
        <v>32</v>
      </c>
      <c r="E167" s="3" t="str">
        <f t="shared" ca="1" si="46"/>
        <v>Healthcare</v>
      </c>
      <c r="F167" s="3">
        <f t="shared" ca="1" si="47"/>
        <v>6</v>
      </c>
      <c r="G167" s="3" t="str">
        <f t="shared" ca="1" si="48"/>
        <v>Doctorate</v>
      </c>
      <c r="H167" s="3">
        <f t="shared" ca="1" si="49"/>
        <v>1</v>
      </c>
      <c r="I167" s="3">
        <f t="shared" ca="1" si="50"/>
        <v>3</v>
      </c>
      <c r="J167" s="3">
        <f t="shared" ca="1" si="51"/>
        <v>10</v>
      </c>
      <c r="K167" s="3" t="str">
        <f t="shared" ca="1" si="52"/>
        <v>Gujarat</v>
      </c>
      <c r="L167" s="3">
        <f t="shared" ca="1" si="53"/>
        <v>66981</v>
      </c>
      <c r="M167" s="3">
        <f t="shared" ca="1" si="54"/>
        <v>535848</v>
      </c>
      <c r="N167" s="3">
        <f t="shared" ca="1" si="55"/>
        <v>418562.13492114469</v>
      </c>
      <c r="O167" s="3">
        <f t="shared" ca="1" si="56"/>
        <v>123359.00922901754</v>
      </c>
      <c r="P167" s="3">
        <f t="shared" ca="1" si="57"/>
        <v>89043.493835081143</v>
      </c>
      <c r="Q167" s="3">
        <f t="shared" ca="1" si="58"/>
        <v>64733.347923971007</v>
      </c>
      <c r="R167" s="3">
        <f t="shared" ca="1" si="59"/>
        <v>59824.368949524578</v>
      </c>
      <c r="S167" s="3">
        <f t="shared" ca="1" si="60"/>
        <v>719031.37817854213</v>
      </c>
      <c r="T167" s="3">
        <f t="shared" ca="1" si="61"/>
        <v>572338.97668019682</v>
      </c>
      <c r="U167" s="5">
        <f t="shared" ca="1" si="62"/>
        <v>146692.40149834531</v>
      </c>
    </row>
    <row r="168" spans="1:21" x14ac:dyDescent="0.35">
      <c r="A168">
        <f t="shared" ca="1" si="44"/>
        <v>2</v>
      </c>
      <c r="B168" s="4" t="str">
        <f t="shared" ca="1" si="42"/>
        <v>F</v>
      </c>
      <c r="C168" s="3">
        <f t="shared" ca="1" si="45"/>
        <v>1</v>
      </c>
      <c r="D168" s="3">
        <f t="shared" ca="1" si="43"/>
        <v>39</v>
      </c>
      <c r="E168" s="3" t="str">
        <f t="shared" ca="1" si="46"/>
        <v>Engineering</v>
      </c>
      <c r="F168" s="3">
        <f t="shared" ca="1" si="47"/>
        <v>5</v>
      </c>
      <c r="G168" s="3" t="str">
        <f t="shared" ca="1" si="48"/>
        <v>Diploma</v>
      </c>
      <c r="H168" s="3">
        <f t="shared" ca="1" si="49"/>
        <v>4</v>
      </c>
      <c r="I168" s="3">
        <f t="shared" ca="1" si="50"/>
        <v>3</v>
      </c>
      <c r="J168" s="3">
        <f t="shared" ca="1" si="51"/>
        <v>10</v>
      </c>
      <c r="K168" s="3" t="str">
        <f t="shared" ca="1" si="52"/>
        <v>Gujarat</v>
      </c>
      <c r="L168" s="3">
        <f t="shared" ca="1" si="53"/>
        <v>88807</v>
      </c>
      <c r="M168" s="3">
        <f t="shared" ca="1" si="54"/>
        <v>621649</v>
      </c>
      <c r="N168" s="3">
        <f t="shared" ca="1" si="55"/>
        <v>610589.54904500593</v>
      </c>
      <c r="O168" s="3">
        <f t="shared" ca="1" si="56"/>
        <v>4289.4401049096368</v>
      </c>
      <c r="P168" s="3">
        <f t="shared" ca="1" si="57"/>
        <v>1913.9382227441308</v>
      </c>
      <c r="Q168" s="3">
        <f t="shared" ca="1" si="58"/>
        <v>43060.167953377539</v>
      </c>
      <c r="R168" s="3">
        <f t="shared" ca="1" si="59"/>
        <v>65833.155086980129</v>
      </c>
      <c r="S168" s="3">
        <f t="shared" ca="1" si="60"/>
        <v>691771.59519188968</v>
      </c>
      <c r="T168" s="3">
        <f t="shared" ca="1" si="61"/>
        <v>655563.65522112767</v>
      </c>
      <c r="U168" s="5">
        <f t="shared" ca="1" si="62"/>
        <v>36207.939970762003</v>
      </c>
    </row>
    <row r="169" spans="1:21" x14ac:dyDescent="0.35">
      <c r="A169">
        <f t="shared" ca="1" si="44"/>
        <v>2</v>
      </c>
      <c r="B169" s="4" t="str">
        <f t="shared" ca="1" si="42"/>
        <v>F</v>
      </c>
      <c r="C169" s="3">
        <f t="shared" ca="1" si="45"/>
        <v>6</v>
      </c>
      <c r="D169" s="3">
        <f t="shared" ca="1" si="43"/>
        <v>34</v>
      </c>
      <c r="E169" s="3" t="str">
        <f t="shared" ca="1" si="46"/>
        <v>Art</v>
      </c>
      <c r="F169" s="3">
        <f t="shared" ca="1" si="47"/>
        <v>4</v>
      </c>
      <c r="G169" s="3" t="str">
        <f t="shared" ca="1" si="48"/>
        <v>PG</v>
      </c>
      <c r="H169" s="3">
        <f t="shared" ca="1" si="49"/>
        <v>1</v>
      </c>
      <c r="I169" s="3">
        <f t="shared" ca="1" si="50"/>
        <v>3</v>
      </c>
      <c r="J169" s="3">
        <f t="shared" ca="1" si="51"/>
        <v>19</v>
      </c>
      <c r="K169" s="3" t="str">
        <f t="shared" ca="1" si="52"/>
        <v>Mizoram</v>
      </c>
      <c r="L169" s="3">
        <f t="shared" ca="1" si="53"/>
        <v>87908</v>
      </c>
      <c r="M169" s="3">
        <f t="shared" ca="1" si="54"/>
        <v>527448</v>
      </c>
      <c r="N169" s="3">
        <f t="shared" ca="1" si="55"/>
        <v>480515.84772522771</v>
      </c>
      <c r="O169" s="3">
        <f t="shared" ca="1" si="56"/>
        <v>67417.646415181822</v>
      </c>
      <c r="P169" s="3">
        <f t="shared" ca="1" si="57"/>
        <v>30637.189321849764</v>
      </c>
      <c r="Q169" s="3">
        <f t="shared" ca="1" si="58"/>
        <v>58043.194136778511</v>
      </c>
      <c r="R169" s="3">
        <f t="shared" ca="1" si="59"/>
        <v>7416.950539693159</v>
      </c>
      <c r="S169" s="3">
        <f t="shared" ca="1" si="60"/>
        <v>602282.59695487493</v>
      </c>
      <c r="T169" s="3">
        <f t="shared" ca="1" si="61"/>
        <v>569196.23118385603</v>
      </c>
      <c r="U169" s="5">
        <f t="shared" ca="1" si="62"/>
        <v>33086.3657710189</v>
      </c>
    </row>
    <row r="170" spans="1:21" x14ac:dyDescent="0.35">
      <c r="A170">
        <f t="shared" ca="1" si="44"/>
        <v>2</v>
      </c>
      <c r="B170" s="4" t="str">
        <f t="shared" ca="1" si="42"/>
        <v>F</v>
      </c>
      <c r="C170" s="3">
        <f t="shared" ca="1" si="45"/>
        <v>3</v>
      </c>
      <c r="D170" s="3">
        <f t="shared" ca="1" si="43"/>
        <v>34</v>
      </c>
      <c r="E170" s="3" t="str">
        <f t="shared" ca="1" si="46"/>
        <v>IT</v>
      </c>
      <c r="F170" s="3">
        <f t="shared" ca="1" si="47"/>
        <v>6</v>
      </c>
      <c r="G170" s="3" t="str">
        <f t="shared" ca="1" si="48"/>
        <v>Doctorate</v>
      </c>
      <c r="H170" s="3">
        <f t="shared" ca="1" si="49"/>
        <v>2</v>
      </c>
      <c r="I170" s="3">
        <f t="shared" ca="1" si="50"/>
        <v>0</v>
      </c>
      <c r="J170" s="3">
        <f t="shared" ca="1" si="51"/>
        <v>23</v>
      </c>
      <c r="K170" s="3" t="str">
        <f t="shared" ca="1" si="52"/>
        <v>Sikkim</v>
      </c>
      <c r="L170" s="3">
        <f t="shared" ca="1" si="53"/>
        <v>81920</v>
      </c>
      <c r="M170" s="3">
        <f t="shared" ca="1" si="54"/>
        <v>573440</v>
      </c>
      <c r="N170" s="3">
        <f t="shared" ca="1" si="55"/>
        <v>89721.047229915304</v>
      </c>
      <c r="O170" s="3">
        <f t="shared" ca="1" si="56"/>
        <v>0</v>
      </c>
      <c r="P170" s="3">
        <f t="shared" ca="1" si="57"/>
        <v>0</v>
      </c>
      <c r="Q170" s="3">
        <f t="shared" ca="1" si="58"/>
        <v>66520.606795272863</v>
      </c>
      <c r="R170" s="3">
        <f t="shared" ca="1" si="59"/>
        <v>14311.275657051847</v>
      </c>
      <c r="S170" s="3">
        <f t="shared" ca="1" si="60"/>
        <v>587751.27565705182</v>
      </c>
      <c r="T170" s="3">
        <f t="shared" ca="1" si="61"/>
        <v>156241.65402518818</v>
      </c>
      <c r="U170" s="5">
        <f t="shared" ca="1" si="62"/>
        <v>431509.62163186364</v>
      </c>
    </row>
    <row r="171" spans="1:21" x14ac:dyDescent="0.35">
      <c r="A171">
        <f t="shared" ca="1" si="44"/>
        <v>1</v>
      </c>
      <c r="B171" s="4" t="str">
        <f t="shared" ca="1" si="42"/>
        <v>M</v>
      </c>
      <c r="C171" s="3">
        <f t="shared" ca="1" si="45"/>
        <v>7</v>
      </c>
      <c r="D171" s="3">
        <f t="shared" ca="1" si="43"/>
        <v>28</v>
      </c>
      <c r="E171" s="3" t="str">
        <f t="shared" ca="1" si="46"/>
        <v>Other</v>
      </c>
      <c r="F171" s="3">
        <f t="shared" ca="1" si="47"/>
        <v>1</v>
      </c>
      <c r="G171" s="3" t="str">
        <f t="shared" ca="1" si="48"/>
        <v>Secondary</v>
      </c>
      <c r="H171" s="3">
        <f t="shared" ca="1" si="49"/>
        <v>2</v>
      </c>
      <c r="I171" s="3">
        <f t="shared" ca="1" si="50"/>
        <v>2</v>
      </c>
      <c r="J171" s="3">
        <f t="shared" ca="1" si="51"/>
        <v>4</v>
      </c>
      <c r="K171" s="3" t="str">
        <f t="shared" ca="1" si="52"/>
        <v>Maharashtra</v>
      </c>
      <c r="L171" s="3">
        <f t="shared" ca="1" si="53"/>
        <v>93434</v>
      </c>
      <c r="M171" s="3">
        <f t="shared" ca="1" si="54"/>
        <v>560604</v>
      </c>
      <c r="N171" s="3">
        <f t="shared" ca="1" si="55"/>
        <v>309974.42384348816</v>
      </c>
      <c r="O171" s="3">
        <f t="shared" ca="1" si="56"/>
        <v>63202.637454534073</v>
      </c>
      <c r="P171" s="3">
        <f t="shared" ca="1" si="57"/>
        <v>51487.926570631003</v>
      </c>
      <c r="Q171" s="3">
        <f t="shared" ca="1" si="58"/>
        <v>48764.813919516135</v>
      </c>
      <c r="R171" s="3">
        <f t="shared" ca="1" si="59"/>
        <v>36592.225816533253</v>
      </c>
      <c r="S171" s="3">
        <f t="shared" ca="1" si="60"/>
        <v>660398.86327106727</v>
      </c>
      <c r="T171" s="3">
        <f t="shared" ca="1" si="61"/>
        <v>410227.16433363524</v>
      </c>
      <c r="U171" s="5">
        <f t="shared" ca="1" si="62"/>
        <v>250171.69893743203</v>
      </c>
    </row>
    <row r="172" spans="1:21" x14ac:dyDescent="0.35">
      <c r="A172">
        <f t="shared" ca="1" si="44"/>
        <v>2</v>
      </c>
      <c r="B172" s="4" t="str">
        <f t="shared" ca="1" si="42"/>
        <v>F</v>
      </c>
      <c r="C172" s="3">
        <f t="shared" ca="1" si="45"/>
        <v>3</v>
      </c>
      <c r="D172" s="3">
        <f t="shared" ca="1" si="43"/>
        <v>21</v>
      </c>
      <c r="E172" s="3" t="str">
        <f t="shared" ca="1" si="46"/>
        <v>IT</v>
      </c>
      <c r="F172" s="3">
        <f t="shared" ca="1" si="47"/>
        <v>3</v>
      </c>
      <c r="G172" s="3" t="str">
        <f t="shared" ca="1" si="48"/>
        <v>UG</v>
      </c>
      <c r="H172" s="3">
        <f t="shared" ca="1" si="49"/>
        <v>2</v>
      </c>
      <c r="I172" s="3">
        <f t="shared" ca="1" si="50"/>
        <v>1</v>
      </c>
      <c r="J172" s="3">
        <f t="shared" ca="1" si="51"/>
        <v>5</v>
      </c>
      <c r="K172" s="3" t="str">
        <f t="shared" ca="1" si="52"/>
        <v>Andhra Pradesh</v>
      </c>
      <c r="L172" s="3">
        <f t="shared" ca="1" si="53"/>
        <v>89089</v>
      </c>
      <c r="M172" s="3">
        <f t="shared" ca="1" si="54"/>
        <v>712712</v>
      </c>
      <c r="N172" s="3">
        <f t="shared" ca="1" si="55"/>
        <v>393745.99232387968</v>
      </c>
      <c r="O172" s="3">
        <f t="shared" ca="1" si="56"/>
        <v>82580.746832934412</v>
      </c>
      <c r="P172" s="3">
        <f t="shared" ca="1" si="57"/>
        <v>43468.008467093408</v>
      </c>
      <c r="Q172" s="3">
        <f t="shared" ca="1" si="58"/>
        <v>20239.085492004313</v>
      </c>
      <c r="R172" s="3">
        <f t="shared" ca="1" si="59"/>
        <v>29607.085397211136</v>
      </c>
      <c r="S172" s="3">
        <f t="shared" ca="1" si="60"/>
        <v>824899.83223014558</v>
      </c>
      <c r="T172" s="3">
        <f t="shared" ca="1" si="61"/>
        <v>457453.08628297737</v>
      </c>
      <c r="U172" s="5">
        <f t="shared" ca="1" si="62"/>
        <v>367446.74594716821</v>
      </c>
    </row>
    <row r="173" spans="1:21" x14ac:dyDescent="0.35">
      <c r="A173">
        <f t="shared" ca="1" si="44"/>
        <v>1</v>
      </c>
      <c r="B173" s="4" t="str">
        <f t="shared" ca="1" si="42"/>
        <v>M</v>
      </c>
      <c r="C173" s="3">
        <f t="shared" ca="1" si="45"/>
        <v>4</v>
      </c>
      <c r="D173" s="3">
        <f t="shared" ca="1" si="43"/>
        <v>41</v>
      </c>
      <c r="E173" s="3" t="str">
        <f t="shared" ca="1" si="46"/>
        <v>Accounting</v>
      </c>
      <c r="F173" s="3">
        <f t="shared" ca="1" si="47"/>
        <v>3</v>
      </c>
      <c r="G173" s="3" t="str">
        <f t="shared" ca="1" si="48"/>
        <v>UG</v>
      </c>
      <c r="H173" s="3">
        <f t="shared" ca="1" si="49"/>
        <v>2</v>
      </c>
      <c r="I173" s="3">
        <f t="shared" ca="1" si="50"/>
        <v>2</v>
      </c>
      <c r="J173" s="3">
        <f t="shared" ca="1" si="51"/>
        <v>15</v>
      </c>
      <c r="K173" s="3" t="str">
        <f t="shared" ca="1" si="52"/>
        <v>Kerela</v>
      </c>
      <c r="L173" s="3">
        <f t="shared" ca="1" si="53"/>
        <v>61480</v>
      </c>
      <c r="M173" s="3">
        <f t="shared" ca="1" si="54"/>
        <v>368880</v>
      </c>
      <c r="N173" s="3">
        <f t="shared" ca="1" si="55"/>
        <v>113217.99350439289</v>
      </c>
      <c r="O173" s="3">
        <f t="shared" ca="1" si="56"/>
        <v>15672.232993851178</v>
      </c>
      <c r="P173" s="3">
        <f t="shared" ca="1" si="57"/>
        <v>8944.2031239992884</v>
      </c>
      <c r="Q173" s="3">
        <f t="shared" ca="1" si="58"/>
        <v>58613.00630837529</v>
      </c>
      <c r="R173" s="3">
        <f t="shared" ca="1" si="59"/>
        <v>54611.580022784605</v>
      </c>
      <c r="S173" s="3">
        <f t="shared" ca="1" si="60"/>
        <v>439163.81301663577</v>
      </c>
      <c r="T173" s="3">
        <f t="shared" ca="1" si="61"/>
        <v>180775.20293676748</v>
      </c>
      <c r="U173" s="5">
        <f t="shared" ca="1" si="62"/>
        <v>258388.61007986829</v>
      </c>
    </row>
    <row r="174" spans="1:21" x14ac:dyDescent="0.35">
      <c r="A174">
        <f t="shared" ca="1" si="44"/>
        <v>2</v>
      </c>
      <c r="B174" s="4" t="str">
        <f t="shared" ca="1" si="42"/>
        <v>F</v>
      </c>
      <c r="C174" s="3">
        <f t="shared" ca="1" si="45"/>
        <v>7</v>
      </c>
      <c r="D174" s="3">
        <f t="shared" ca="1" si="43"/>
        <v>24</v>
      </c>
      <c r="E174" s="3" t="str">
        <f t="shared" ca="1" si="46"/>
        <v>Other</v>
      </c>
      <c r="F174" s="3">
        <f t="shared" ca="1" si="47"/>
        <v>6</v>
      </c>
      <c r="G174" s="3" t="str">
        <f t="shared" ca="1" si="48"/>
        <v>Doctorate</v>
      </c>
      <c r="H174" s="3">
        <f t="shared" ca="1" si="49"/>
        <v>4</v>
      </c>
      <c r="I174" s="3">
        <f t="shared" ca="1" si="50"/>
        <v>3</v>
      </c>
      <c r="J174" s="3">
        <f t="shared" ca="1" si="51"/>
        <v>4</v>
      </c>
      <c r="K174" s="3" t="str">
        <f t="shared" ca="1" si="52"/>
        <v>Maharashtra</v>
      </c>
      <c r="L174" s="3">
        <f t="shared" ca="1" si="53"/>
        <v>77444</v>
      </c>
      <c r="M174" s="3">
        <f t="shared" ca="1" si="54"/>
        <v>387220</v>
      </c>
      <c r="N174" s="3">
        <f t="shared" ca="1" si="55"/>
        <v>52598.221101593117</v>
      </c>
      <c r="O174" s="3">
        <f t="shared" ca="1" si="56"/>
        <v>231800.72652359327</v>
      </c>
      <c r="P174" s="3">
        <f t="shared" ca="1" si="57"/>
        <v>208762.71798703435</v>
      </c>
      <c r="Q174" s="3">
        <f t="shared" ca="1" si="58"/>
        <v>24051.410791455462</v>
      </c>
      <c r="R174" s="3">
        <f t="shared" ca="1" si="59"/>
        <v>4285.8478145399013</v>
      </c>
      <c r="S174" s="3">
        <f t="shared" ca="1" si="60"/>
        <v>623306.57433813321</v>
      </c>
      <c r="T174" s="3">
        <f t="shared" ca="1" si="61"/>
        <v>285412.34988008294</v>
      </c>
      <c r="U174" s="5">
        <f t="shared" ca="1" si="62"/>
        <v>337894.22445805027</v>
      </c>
    </row>
    <row r="175" spans="1:21" x14ac:dyDescent="0.35">
      <c r="A175">
        <f t="shared" ca="1" si="44"/>
        <v>2</v>
      </c>
      <c r="B175" s="4" t="str">
        <f t="shared" ca="1" si="42"/>
        <v>F</v>
      </c>
      <c r="C175" s="3">
        <f t="shared" ca="1" si="45"/>
        <v>2</v>
      </c>
      <c r="D175" s="3">
        <f t="shared" ca="1" si="43"/>
        <v>42</v>
      </c>
      <c r="E175" s="3" t="str">
        <f t="shared" ca="1" si="46"/>
        <v>Healthcare</v>
      </c>
      <c r="F175" s="3">
        <f t="shared" ca="1" si="47"/>
        <v>3</v>
      </c>
      <c r="G175" s="3" t="str">
        <f t="shared" ca="1" si="48"/>
        <v>UG</v>
      </c>
      <c r="H175" s="3">
        <f t="shared" ca="1" si="49"/>
        <v>2</v>
      </c>
      <c r="I175" s="3">
        <f t="shared" ca="1" si="50"/>
        <v>0</v>
      </c>
      <c r="J175" s="3">
        <f t="shared" ca="1" si="51"/>
        <v>27</v>
      </c>
      <c r="K175" s="3" t="str">
        <f t="shared" ca="1" si="52"/>
        <v>Uttrakhand</v>
      </c>
      <c r="L175" s="3">
        <f t="shared" ca="1" si="53"/>
        <v>78078</v>
      </c>
      <c r="M175" s="3">
        <f t="shared" ca="1" si="54"/>
        <v>624624</v>
      </c>
      <c r="N175" s="3">
        <f t="shared" ca="1" si="55"/>
        <v>145071.62113446736</v>
      </c>
      <c r="O175" s="3">
        <f t="shared" ca="1" si="56"/>
        <v>0</v>
      </c>
      <c r="P175" s="3">
        <f t="shared" ca="1" si="57"/>
        <v>0</v>
      </c>
      <c r="Q175" s="3">
        <f t="shared" ca="1" si="58"/>
        <v>12835.024139356063</v>
      </c>
      <c r="R175" s="3">
        <f t="shared" ca="1" si="59"/>
        <v>41605.156981526656</v>
      </c>
      <c r="S175" s="3">
        <f t="shared" ca="1" si="60"/>
        <v>666229.15698152664</v>
      </c>
      <c r="T175" s="3">
        <f t="shared" ca="1" si="61"/>
        <v>157906.64527382344</v>
      </c>
      <c r="U175" s="5">
        <f t="shared" ca="1" si="62"/>
        <v>508322.51170770323</v>
      </c>
    </row>
    <row r="176" spans="1:21" x14ac:dyDescent="0.35">
      <c r="A176">
        <f t="shared" ca="1" si="44"/>
        <v>2</v>
      </c>
      <c r="B176" s="4" t="str">
        <f t="shared" ca="1" si="42"/>
        <v>F</v>
      </c>
      <c r="C176" s="3">
        <f t="shared" ca="1" si="45"/>
        <v>4</v>
      </c>
      <c r="D176" s="3">
        <f t="shared" ca="1" si="43"/>
        <v>42</v>
      </c>
      <c r="E176" s="3" t="str">
        <f t="shared" ca="1" si="46"/>
        <v>Accounting</v>
      </c>
      <c r="F176" s="3">
        <f t="shared" ca="1" si="47"/>
        <v>6</v>
      </c>
      <c r="G176" s="3" t="str">
        <f t="shared" ca="1" si="48"/>
        <v>Doctorate</v>
      </c>
      <c r="H176" s="3">
        <f t="shared" ca="1" si="49"/>
        <v>4</v>
      </c>
      <c r="I176" s="3">
        <f t="shared" ca="1" si="50"/>
        <v>0</v>
      </c>
      <c r="J176" s="3">
        <f t="shared" ca="1" si="51"/>
        <v>14</v>
      </c>
      <c r="K176" s="3" t="str">
        <f t="shared" ca="1" si="52"/>
        <v>Karnataka</v>
      </c>
      <c r="L176" s="3">
        <f t="shared" ca="1" si="53"/>
        <v>78372</v>
      </c>
      <c r="M176" s="3">
        <f t="shared" ca="1" si="54"/>
        <v>470232</v>
      </c>
      <c r="N176" s="3">
        <f t="shared" ca="1" si="55"/>
        <v>445619.69714235398</v>
      </c>
      <c r="O176" s="3">
        <f t="shared" ca="1" si="56"/>
        <v>0</v>
      </c>
      <c r="P176" s="3">
        <f t="shared" ca="1" si="57"/>
        <v>0</v>
      </c>
      <c r="Q176" s="3">
        <f t="shared" ca="1" si="58"/>
        <v>78354.41452884287</v>
      </c>
      <c r="R176" s="3">
        <f t="shared" ca="1" si="59"/>
        <v>12847.273799182276</v>
      </c>
      <c r="S176" s="3">
        <f t="shared" ca="1" si="60"/>
        <v>483079.27379918227</v>
      </c>
      <c r="T176" s="3">
        <f t="shared" ca="1" si="61"/>
        <v>523974.11167119688</v>
      </c>
      <c r="U176" s="5">
        <f t="shared" ca="1" si="62"/>
        <v>-40894.837872014614</v>
      </c>
    </row>
    <row r="177" spans="1:21" x14ac:dyDescent="0.35">
      <c r="A177">
        <f t="shared" ca="1" si="44"/>
        <v>1</v>
      </c>
      <c r="B177" s="4" t="str">
        <f t="shared" ca="1" si="42"/>
        <v>M</v>
      </c>
      <c r="C177" s="3">
        <f t="shared" ca="1" si="45"/>
        <v>7</v>
      </c>
      <c r="D177" s="3">
        <f t="shared" ca="1" si="43"/>
        <v>39</v>
      </c>
      <c r="E177" s="3" t="str">
        <f t="shared" ca="1" si="46"/>
        <v>Other</v>
      </c>
      <c r="F177" s="3">
        <f t="shared" ca="1" si="47"/>
        <v>5</v>
      </c>
      <c r="G177" s="3" t="str">
        <f t="shared" ca="1" si="48"/>
        <v>Diploma</v>
      </c>
      <c r="H177" s="3">
        <f t="shared" ca="1" si="49"/>
        <v>4</v>
      </c>
      <c r="I177" s="3">
        <f t="shared" ca="1" si="50"/>
        <v>0</v>
      </c>
      <c r="J177" s="3">
        <f t="shared" ca="1" si="51"/>
        <v>24</v>
      </c>
      <c r="K177" s="3" t="str">
        <f t="shared" ca="1" si="52"/>
        <v>Tamil Nadu</v>
      </c>
      <c r="L177" s="3">
        <f t="shared" ca="1" si="53"/>
        <v>53717</v>
      </c>
      <c r="M177" s="3">
        <f t="shared" ca="1" si="54"/>
        <v>376019</v>
      </c>
      <c r="N177" s="3">
        <f t="shared" ca="1" si="55"/>
        <v>332313.67912466615</v>
      </c>
      <c r="O177" s="3">
        <f t="shared" ca="1" si="56"/>
        <v>0</v>
      </c>
      <c r="P177" s="3">
        <f t="shared" ca="1" si="57"/>
        <v>0</v>
      </c>
      <c r="Q177" s="3">
        <f t="shared" ca="1" si="58"/>
        <v>53127.799570449883</v>
      </c>
      <c r="R177" s="3">
        <f t="shared" ca="1" si="59"/>
        <v>16537.037560806119</v>
      </c>
      <c r="S177" s="3">
        <f t="shared" ca="1" si="60"/>
        <v>392556.03756080614</v>
      </c>
      <c r="T177" s="3">
        <f t="shared" ca="1" si="61"/>
        <v>385441.47869511601</v>
      </c>
      <c r="U177" s="5">
        <f t="shared" ca="1" si="62"/>
        <v>7114.5588656901382</v>
      </c>
    </row>
    <row r="178" spans="1:21" x14ac:dyDescent="0.35">
      <c r="A178">
        <f t="shared" ca="1" si="44"/>
        <v>2</v>
      </c>
      <c r="B178" s="4" t="str">
        <f t="shared" ca="1" si="42"/>
        <v>F</v>
      </c>
      <c r="C178" s="3">
        <f t="shared" ca="1" si="45"/>
        <v>2</v>
      </c>
      <c r="D178" s="3">
        <f t="shared" ca="1" si="43"/>
        <v>28</v>
      </c>
      <c r="E178" s="3" t="str">
        <f t="shared" ca="1" si="46"/>
        <v>Healthcare</v>
      </c>
      <c r="F178" s="3">
        <f t="shared" ca="1" si="47"/>
        <v>5</v>
      </c>
      <c r="G178" s="3" t="str">
        <f t="shared" ca="1" si="48"/>
        <v>Diploma</v>
      </c>
      <c r="H178" s="3">
        <f t="shared" ca="1" si="49"/>
        <v>1</v>
      </c>
      <c r="I178" s="3">
        <f t="shared" ca="1" si="50"/>
        <v>1</v>
      </c>
      <c r="J178" s="3">
        <f t="shared" ca="1" si="51"/>
        <v>3</v>
      </c>
      <c r="K178" s="3" t="str">
        <f t="shared" ca="1" si="52"/>
        <v>Punjab</v>
      </c>
      <c r="L178" s="3">
        <f t="shared" ca="1" si="53"/>
        <v>33922</v>
      </c>
      <c r="M178" s="3">
        <f t="shared" ca="1" si="54"/>
        <v>271376</v>
      </c>
      <c r="N178" s="3">
        <f t="shared" ca="1" si="55"/>
        <v>60257.681544436913</v>
      </c>
      <c r="O178" s="3">
        <f t="shared" ca="1" si="56"/>
        <v>27219.005362193908</v>
      </c>
      <c r="P178" s="3">
        <f t="shared" ca="1" si="57"/>
        <v>20217.497610474347</v>
      </c>
      <c r="Q178" s="3">
        <f t="shared" ca="1" si="58"/>
        <v>15870.345059540587</v>
      </c>
      <c r="R178" s="3">
        <f t="shared" ca="1" si="59"/>
        <v>20058.707144768134</v>
      </c>
      <c r="S178" s="3">
        <f t="shared" ca="1" si="60"/>
        <v>318653.71250696207</v>
      </c>
      <c r="T178" s="3">
        <f t="shared" ca="1" si="61"/>
        <v>96345.524214451842</v>
      </c>
      <c r="U178" s="5">
        <f t="shared" ca="1" si="62"/>
        <v>222308.18829251023</v>
      </c>
    </row>
    <row r="179" spans="1:21" x14ac:dyDescent="0.35">
      <c r="A179">
        <f t="shared" ca="1" si="44"/>
        <v>1</v>
      </c>
      <c r="B179" s="4" t="str">
        <f t="shared" ca="1" si="42"/>
        <v>M</v>
      </c>
      <c r="C179" s="3">
        <f t="shared" ca="1" si="45"/>
        <v>1</v>
      </c>
      <c r="D179" s="3">
        <f t="shared" ca="1" si="43"/>
        <v>24</v>
      </c>
      <c r="E179" s="3" t="str">
        <f t="shared" ca="1" si="46"/>
        <v>Engineering</v>
      </c>
      <c r="F179" s="3">
        <f t="shared" ca="1" si="47"/>
        <v>3</v>
      </c>
      <c r="G179" s="3" t="str">
        <f t="shared" ca="1" si="48"/>
        <v>UG</v>
      </c>
      <c r="H179" s="3">
        <f t="shared" ca="1" si="49"/>
        <v>4</v>
      </c>
      <c r="I179" s="3">
        <f t="shared" ca="1" si="50"/>
        <v>3</v>
      </c>
      <c r="J179" s="3">
        <f t="shared" ca="1" si="51"/>
        <v>24</v>
      </c>
      <c r="K179" s="3" t="str">
        <f t="shared" ca="1" si="52"/>
        <v>Tamil Nadu</v>
      </c>
      <c r="L179" s="3">
        <f t="shared" ca="1" si="53"/>
        <v>55071</v>
      </c>
      <c r="M179" s="3">
        <f t="shared" ca="1" si="54"/>
        <v>330426</v>
      </c>
      <c r="N179" s="3">
        <f t="shared" ca="1" si="55"/>
        <v>305349.26598504535</v>
      </c>
      <c r="O179" s="3">
        <f t="shared" ca="1" si="56"/>
        <v>145257.48669653665</v>
      </c>
      <c r="P179" s="3">
        <f t="shared" ca="1" si="57"/>
        <v>91245.392485669843</v>
      </c>
      <c r="Q179" s="3">
        <f t="shared" ca="1" si="58"/>
        <v>11887.993483292053</v>
      </c>
      <c r="R179" s="3">
        <f t="shared" ca="1" si="59"/>
        <v>37654.494342358099</v>
      </c>
      <c r="S179" s="3">
        <f t="shared" ca="1" si="60"/>
        <v>513337.98103889474</v>
      </c>
      <c r="T179" s="3">
        <f t="shared" ca="1" si="61"/>
        <v>408482.65195400722</v>
      </c>
      <c r="U179" s="5">
        <f t="shared" ca="1" si="62"/>
        <v>104855.32908488752</v>
      </c>
    </row>
    <row r="180" spans="1:21" x14ac:dyDescent="0.35">
      <c r="A180">
        <f t="shared" ca="1" si="44"/>
        <v>2</v>
      </c>
      <c r="B180" s="4" t="str">
        <f t="shared" ca="1" si="42"/>
        <v>F</v>
      </c>
      <c r="C180" s="3">
        <f t="shared" ca="1" si="45"/>
        <v>4</v>
      </c>
      <c r="D180" s="3">
        <f t="shared" ca="1" si="43"/>
        <v>32</v>
      </c>
      <c r="E180" s="3" t="str">
        <f t="shared" ca="1" si="46"/>
        <v>Accounting</v>
      </c>
      <c r="F180" s="3">
        <f t="shared" ca="1" si="47"/>
        <v>1</v>
      </c>
      <c r="G180" s="3" t="str">
        <f t="shared" ca="1" si="48"/>
        <v>Secondary</v>
      </c>
      <c r="H180" s="3">
        <f t="shared" ca="1" si="49"/>
        <v>1</v>
      </c>
      <c r="I180" s="3">
        <f t="shared" ca="1" si="50"/>
        <v>1</v>
      </c>
      <c r="J180" s="3">
        <f t="shared" ca="1" si="51"/>
        <v>23</v>
      </c>
      <c r="K180" s="3" t="str">
        <f t="shared" ca="1" si="52"/>
        <v>Sikkim</v>
      </c>
      <c r="L180" s="3">
        <f t="shared" ca="1" si="53"/>
        <v>68291</v>
      </c>
      <c r="M180" s="3">
        <f t="shared" ca="1" si="54"/>
        <v>478037</v>
      </c>
      <c r="N180" s="3">
        <f t="shared" ca="1" si="55"/>
        <v>449679.43876278889</v>
      </c>
      <c r="O180" s="3">
        <f t="shared" ca="1" si="56"/>
        <v>46687.210271838987</v>
      </c>
      <c r="P180" s="3">
        <f t="shared" ca="1" si="57"/>
        <v>28580.736989001569</v>
      </c>
      <c r="Q180" s="3">
        <f t="shared" ca="1" si="58"/>
        <v>37934.253886737664</v>
      </c>
      <c r="R180" s="3">
        <f t="shared" ca="1" si="59"/>
        <v>25723.671839639974</v>
      </c>
      <c r="S180" s="3">
        <f t="shared" ca="1" si="60"/>
        <v>550447.88211147895</v>
      </c>
      <c r="T180" s="3">
        <f t="shared" ca="1" si="61"/>
        <v>516194.42963852815</v>
      </c>
      <c r="U180" s="5">
        <f t="shared" ca="1" si="62"/>
        <v>34253.452472950798</v>
      </c>
    </row>
    <row r="181" spans="1:21" x14ac:dyDescent="0.35">
      <c r="A181">
        <f t="shared" ca="1" si="44"/>
        <v>2</v>
      </c>
      <c r="B181" s="4" t="str">
        <f t="shared" ca="1" si="42"/>
        <v>F</v>
      </c>
      <c r="C181" s="3">
        <f t="shared" ca="1" si="45"/>
        <v>7</v>
      </c>
      <c r="D181" s="3">
        <f t="shared" ca="1" si="43"/>
        <v>26</v>
      </c>
      <c r="E181" s="3" t="str">
        <f t="shared" ca="1" si="46"/>
        <v>Other</v>
      </c>
      <c r="F181" s="3">
        <f t="shared" ca="1" si="47"/>
        <v>6</v>
      </c>
      <c r="G181" s="3" t="str">
        <f t="shared" ca="1" si="48"/>
        <v>Doctorate</v>
      </c>
      <c r="H181" s="3">
        <f t="shared" ca="1" si="49"/>
        <v>1</v>
      </c>
      <c r="I181" s="3">
        <f t="shared" ca="1" si="50"/>
        <v>2</v>
      </c>
      <c r="J181" s="3">
        <f t="shared" ca="1" si="51"/>
        <v>7</v>
      </c>
      <c r="K181" s="3" t="str">
        <f t="shared" ca="1" si="52"/>
        <v>Assam</v>
      </c>
      <c r="L181" s="3">
        <f t="shared" ca="1" si="53"/>
        <v>32052</v>
      </c>
      <c r="M181" s="3">
        <f t="shared" ca="1" si="54"/>
        <v>224364</v>
      </c>
      <c r="N181" s="3">
        <f t="shared" ca="1" si="55"/>
        <v>155937.43238328435</v>
      </c>
      <c r="O181" s="3">
        <f t="shared" ca="1" si="56"/>
        <v>10022.630267282448</v>
      </c>
      <c r="P181" s="3">
        <f t="shared" ca="1" si="57"/>
        <v>1484.0190457733645</v>
      </c>
      <c r="Q181" s="3">
        <f t="shared" ca="1" si="58"/>
        <v>16170.542742141692</v>
      </c>
      <c r="R181" s="3">
        <f t="shared" ca="1" si="59"/>
        <v>31523.449698867662</v>
      </c>
      <c r="S181" s="3">
        <f t="shared" ca="1" si="60"/>
        <v>265910.07996615011</v>
      </c>
      <c r="T181" s="3">
        <f t="shared" ca="1" si="61"/>
        <v>173591.99417119942</v>
      </c>
      <c r="U181" s="5">
        <f t="shared" ca="1" si="62"/>
        <v>92318.08579495069</v>
      </c>
    </row>
    <row r="182" spans="1:21" x14ac:dyDescent="0.35">
      <c r="A182">
        <f t="shared" ca="1" si="44"/>
        <v>1</v>
      </c>
      <c r="B182" s="4" t="str">
        <f t="shared" ca="1" si="42"/>
        <v>M</v>
      </c>
      <c r="C182" s="3">
        <f t="shared" ca="1" si="45"/>
        <v>7</v>
      </c>
      <c r="D182" s="3">
        <f t="shared" ca="1" si="43"/>
        <v>29</v>
      </c>
      <c r="E182" s="3" t="str">
        <f t="shared" ca="1" si="46"/>
        <v>Other</v>
      </c>
      <c r="F182" s="3">
        <f t="shared" ca="1" si="47"/>
        <v>3</v>
      </c>
      <c r="G182" s="3" t="str">
        <f t="shared" ca="1" si="48"/>
        <v>UG</v>
      </c>
      <c r="H182" s="3">
        <f t="shared" ca="1" si="49"/>
        <v>0</v>
      </c>
      <c r="I182" s="3">
        <f t="shared" ca="1" si="50"/>
        <v>0</v>
      </c>
      <c r="J182" s="3">
        <f t="shared" ca="1" si="51"/>
        <v>7</v>
      </c>
      <c r="K182" s="3" t="str">
        <f t="shared" ca="1" si="52"/>
        <v>Assam</v>
      </c>
      <c r="L182" s="3">
        <f t="shared" ca="1" si="53"/>
        <v>88565</v>
      </c>
      <c r="M182" s="3">
        <f t="shared" ca="1" si="54"/>
        <v>531390</v>
      </c>
      <c r="N182" s="3">
        <f t="shared" ca="1" si="55"/>
        <v>222837.10798768036</v>
      </c>
      <c r="O182" s="3">
        <f t="shared" ca="1" si="56"/>
        <v>0</v>
      </c>
      <c r="P182" s="3">
        <f t="shared" ca="1" si="57"/>
        <v>0</v>
      </c>
      <c r="Q182" s="3">
        <f t="shared" ca="1" si="58"/>
        <v>47578.652882960763</v>
      </c>
      <c r="R182" s="3">
        <f t="shared" ca="1" si="59"/>
        <v>82396.960135983129</v>
      </c>
      <c r="S182" s="3">
        <f t="shared" ca="1" si="60"/>
        <v>613786.96013598307</v>
      </c>
      <c r="T182" s="3">
        <f t="shared" ca="1" si="61"/>
        <v>270415.7608706411</v>
      </c>
      <c r="U182" s="5">
        <f t="shared" ca="1" si="62"/>
        <v>343371.19926534197</v>
      </c>
    </row>
    <row r="183" spans="1:21" x14ac:dyDescent="0.35">
      <c r="A183">
        <f t="shared" ca="1" si="44"/>
        <v>2</v>
      </c>
      <c r="B183" s="4" t="str">
        <f t="shared" ca="1" si="42"/>
        <v>F</v>
      </c>
      <c r="C183" s="3">
        <f t="shared" ca="1" si="45"/>
        <v>4</v>
      </c>
      <c r="D183" s="3">
        <f t="shared" ca="1" si="43"/>
        <v>18</v>
      </c>
      <c r="E183" s="3" t="str">
        <f t="shared" ca="1" si="46"/>
        <v>Accounting</v>
      </c>
      <c r="F183" s="3">
        <f t="shared" ca="1" si="47"/>
        <v>6</v>
      </c>
      <c r="G183" s="3" t="str">
        <f t="shared" ca="1" si="48"/>
        <v>Doctorate</v>
      </c>
      <c r="H183" s="3">
        <f t="shared" ca="1" si="49"/>
        <v>1</v>
      </c>
      <c r="I183" s="3">
        <f t="shared" ca="1" si="50"/>
        <v>3</v>
      </c>
      <c r="J183" s="3">
        <f t="shared" ca="1" si="51"/>
        <v>8</v>
      </c>
      <c r="K183" s="3" t="str">
        <f t="shared" ca="1" si="52"/>
        <v>Bihar</v>
      </c>
      <c r="L183" s="3">
        <f t="shared" ca="1" si="53"/>
        <v>67972</v>
      </c>
      <c r="M183" s="3">
        <f t="shared" ca="1" si="54"/>
        <v>543776</v>
      </c>
      <c r="N183" s="3">
        <f t="shared" ca="1" si="55"/>
        <v>193773.47662803342</v>
      </c>
      <c r="O183" s="3">
        <f t="shared" ca="1" si="56"/>
        <v>176160.20279859423</v>
      </c>
      <c r="P183" s="3">
        <f t="shared" ca="1" si="57"/>
        <v>171554.80180466379</v>
      </c>
      <c r="Q183" s="3">
        <f t="shared" ca="1" si="58"/>
        <v>17534.893590683358</v>
      </c>
      <c r="R183" s="3">
        <f t="shared" ca="1" si="59"/>
        <v>52242.822521226197</v>
      </c>
      <c r="S183" s="3">
        <f t="shared" ca="1" si="60"/>
        <v>772179.0253198205</v>
      </c>
      <c r="T183" s="3">
        <f t="shared" ca="1" si="61"/>
        <v>382863.17202338052</v>
      </c>
      <c r="U183" s="5">
        <f t="shared" ca="1" si="62"/>
        <v>389315.85329643998</v>
      </c>
    </row>
    <row r="184" spans="1:21" x14ac:dyDescent="0.35">
      <c r="A184">
        <f t="shared" ca="1" si="44"/>
        <v>2</v>
      </c>
      <c r="B184" s="4" t="str">
        <f t="shared" ca="1" si="42"/>
        <v>F</v>
      </c>
      <c r="C184" s="3">
        <f t="shared" ca="1" si="45"/>
        <v>4</v>
      </c>
      <c r="D184" s="3">
        <f t="shared" ca="1" si="43"/>
        <v>35</v>
      </c>
      <c r="E184" s="3" t="str">
        <f t="shared" ca="1" si="46"/>
        <v>Accounting</v>
      </c>
      <c r="F184" s="3">
        <f t="shared" ca="1" si="47"/>
        <v>3</v>
      </c>
      <c r="G184" s="3" t="str">
        <f t="shared" ca="1" si="48"/>
        <v>UG</v>
      </c>
      <c r="H184" s="3">
        <f t="shared" ca="1" si="49"/>
        <v>2</v>
      </c>
      <c r="I184" s="3">
        <f t="shared" ca="1" si="50"/>
        <v>3</v>
      </c>
      <c r="J184" s="3">
        <f t="shared" ca="1" si="51"/>
        <v>16</v>
      </c>
      <c r="K184" s="3" t="str">
        <f t="shared" ca="1" si="52"/>
        <v>Madhya Pradesh</v>
      </c>
      <c r="L184" s="3">
        <f t="shared" ca="1" si="53"/>
        <v>97448</v>
      </c>
      <c r="M184" s="3">
        <f t="shared" ca="1" si="54"/>
        <v>877032</v>
      </c>
      <c r="N184" s="3">
        <f t="shared" ca="1" si="55"/>
        <v>238263.55443538076</v>
      </c>
      <c r="O184" s="3">
        <f t="shared" ca="1" si="56"/>
        <v>213340.00194268001</v>
      </c>
      <c r="P184" s="3">
        <f t="shared" ca="1" si="57"/>
        <v>128583.50881596771</v>
      </c>
      <c r="Q184" s="3">
        <f t="shared" ca="1" si="58"/>
        <v>46015.13830600756</v>
      </c>
      <c r="R184" s="3">
        <f t="shared" ca="1" si="59"/>
        <v>1633.6036214734804</v>
      </c>
      <c r="S184" s="3">
        <f t="shared" ca="1" si="60"/>
        <v>1092005.6055641535</v>
      </c>
      <c r="T184" s="3">
        <f t="shared" ca="1" si="61"/>
        <v>412862.20155735599</v>
      </c>
      <c r="U184" s="5">
        <f t="shared" ca="1" si="62"/>
        <v>679143.40400679759</v>
      </c>
    </row>
    <row r="185" spans="1:21" x14ac:dyDescent="0.35">
      <c r="A185">
        <f t="shared" ca="1" si="44"/>
        <v>2</v>
      </c>
      <c r="B185" s="4" t="str">
        <f t="shared" ca="1" si="42"/>
        <v>F</v>
      </c>
      <c r="C185" s="3">
        <f t="shared" ca="1" si="45"/>
        <v>5</v>
      </c>
      <c r="D185" s="3">
        <f t="shared" ca="1" si="43"/>
        <v>31</v>
      </c>
      <c r="E185" s="3" t="str">
        <f t="shared" ca="1" si="46"/>
        <v>Research</v>
      </c>
      <c r="F185" s="3">
        <f t="shared" ca="1" si="47"/>
        <v>2</v>
      </c>
      <c r="G185" s="3" t="str">
        <f t="shared" ca="1" si="48"/>
        <v>Senior Secondary</v>
      </c>
      <c r="H185" s="3">
        <f t="shared" ca="1" si="49"/>
        <v>3</v>
      </c>
      <c r="I185" s="3">
        <f t="shared" ca="1" si="50"/>
        <v>0</v>
      </c>
      <c r="J185" s="3">
        <f t="shared" ca="1" si="51"/>
        <v>28</v>
      </c>
      <c r="K185" s="3" t="str">
        <f t="shared" ca="1" si="52"/>
        <v>West Bengal</v>
      </c>
      <c r="L185" s="3">
        <f t="shared" ca="1" si="53"/>
        <v>91873</v>
      </c>
      <c r="M185" s="3">
        <f t="shared" ca="1" si="54"/>
        <v>734984</v>
      </c>
      <c r="N185" s="3">
        <f t="shared" ca="1" si="55"/>
        <v>163641.17368436648</v>
      </c>
      <c r="O185" s="3">
        <f t="shared" ca="1" si="56"/>
        <v>0</v>
      </c>
      <c r="P185" s="3">
        <f t="shared" ca="1" si="57"/>
        <v>0</v>
      </c>
      <c r="Q185" s="3">
        <f t="shared" ca="1" si="58"/>
        <v>77079.823925469726</v>
      </c>
      <c r="R185" s="3">
        <f t="shared" ca="1" si="59"/>
        <v>5420.7192128028437</v>
      </c>
      <c r="S185" s="3">
        <f t="shared" ca="1" si="60"/>
        <v>740404.71921280283</v>
      </c>
      <c r="T185" s="3">
        <f t="shared" ca="1" si="61"/>
        <v>240720.99760983622</v>
      </c>
      <c r="U185" s="5">
        <f t="shared" ca="1" si="62"/>
        <v>499683.7216029666</v>
      </c>
    </row>
    <row r="186" spans="1:21" x14ac:dyDescent="0.35">
      <c r="A186">
        <f t="shared" ca="1" si="44"/>
        <v>1</v>
      </c>
      <c r="B186" s="4" t="str">
        <f t="shared" ca="1" si="42"/>
        <v>M</v>
      </c>
      <c r="C186" s="3">
        <f t="shared" ca="1" si="45"/>
        <v>6</v>
      </c>
      <c r="D186" s="3">
        <f t="shared" ca="1" si="43"/>
        <v>43</v>
      </c>
      <c r="E186" s="3" t="str">
        <f t="shared" ca="1" si="46"/>
        <v>Art</v>
      </c>
      <c r="F186" s="3">
        <f t="shared" ca="1" si="47"/>
        <v>7</v>
      </c>
      <c r="G186" s="3" t="str">
        <f t="shared" ca="1" si="48"/>
        <v>Other</v>
      </c>
      <c r="H186" s="3">
        <f t="shared" ca="1" si="49"/>
        <v>1</v>
      </c>
      <c r="I186" s="3">
        <f t="shared" ca="1" si="50"/>
        <v>3</v>
      </c>
      <c r="J186" s="3">
        <f t="shared" ca="1" si="51"/>
        <v>17</v>
      </c>
      <c r="K186" s="3" t="str">
        <f t="shared" ca="1" si="52"/>
        <v xml:space="preserve">Manipur </v>
      </c>
      <c r="L186" s="3">
        <f t="shared" ca="1" si="53"/>
        <v>72432</v>
      </c>
      <c r="M186" s="3">
        <f t="shared" ca="1" si="54"/>
        <v>507024</v>
      </c>
      <c r="N186" s="3">
        <f t="shared" ca="1" si="55"/>
        <v>373583.25362186873</v>
      </c>
      <c r="O186" s="3">
        <f t="shared" ca="1" si="56"/>
        <v>68797.034272427205</v>
      </c>
      <c r="P186" s="3">
        <f t="shared" ca="1" si="57"/>
        <v>34743.382469059827</v>
      </c>
      <c r="Q186" s="3">
        <f t="shared" ca="1" si="58"/>
        <v>34131.620498363925</v>
      </c>
      <c r="R186" s="3">
        <f t="shared" ca="1" si="59"/>
        <v>38397.261404841411</v>
      </c>
      <c r="S186" s="3">
        <f t="shared" ca="1" si="60"/>
        <v>614218.29567726864</v>
      </c>
      <c r="T186" s="3">
        <f t="shared" ca="1" si="61"/>
        <v>442458.25658929249</v>
      </c>
      <c r="U186" s="5">
        <f t="shared" ca="1" si="62"/>
        <v>171760.03908797615</v>
      </c>
    </row>
    <row r="187" spans="1:21" x14ac:dyDescent="0.35">
      <c r="A187">
        <f t="shared" ca="1" si="44"/>
        <v>1</v>
      </c>
      <c r="B187" s="4" t="str">
        <f t="shared" ca="1" si="42"/>
        <v>M</v>
      </c>
      <c r="C187" s="3">
        <f t="shared" ca="1" si="45"/>
        <v>2</v>
      </c>
      <c r="D187" s="3">
        <f t="shared" ca="1" si="43"/>
        <v>20</v>
      </c>
      <c r="E187" s="3" t="str">
        <f t="shared" ca="1" si="46"/>
        <v>Healthcare</v>
      </c>
      <c r="F187" s="3">
        <f t="shared" ca="1" si="47"/>
        <v>7</v>
      </c>
      <c r="G187" s="3" t="str">
        <f t="shared" ca="1" si="48"/>
        <v>Other</v>
      </c>
      <c r="H187" s="3">
        <f t="shared" ca="1" si="49"/>
        <v>2</v>
      </c>
      <c r="I187" s="3">
        <f t="shared" ca="1" si="50"/>
        <v>3</v>
      </c>
      <c r="J187" s="3">
        <f t="shared" ca="1" si="51"/>
        <v>24</v>
      </c>
      <c r="K187" s="3" t="str">
        <f t="shared" ca="1" si="52"/>
        <v>Tamil Nadu</v>
      </c>
      <c r="L187" s="3">
        <f t="shared" ca="1" si="53"/>
        <v>40780</v>
      </c>
      <c r="M187" s="3">
        <f t="shared" ca="1" si="54"/>
        <v>203900</v>
      </c>
      <c r="N187" s="3">
        <f t="shared" ca="1" si="55"/>
        <v>161100.79995785587</v>
      </c>
      <c r="O187" s="3">
        <f t="shared" ca="1" si="56"/>
        <v>65032.290923616631</v>
      </c>
      <c r="P187" s="3">
        <f t="shared" ca="1" si="57"/>
        <v>49925.605870763924</v>
      </c>
      <c r="Q187" s="3">
        <f t="shared" ca="1" si="58"/>
        <v>29328.236540273756</v>
      </c>
      <c r="R187" s="3">
        <f t="shared" ca="1" si="59"/>
        <v>2224.4490859788198</v>
      </c>
      <c r="S187" s="3">
        <f t="shared" ca="1" si="60"/>
        <v>271156.74000959541</v>
      </c>
      <c r="T187" s="3">
        <f t="shared" ca="1" si="61"/>
        <v>240354.64236889355</v>
      </c>
      <c r="U187" s="5">
        <f t="shared" ca="1" si="62"/>
        <v>30802.097640701861</v>
      </c>
    </row>
    <row r="188" spans="1:21" x14ac:dyDescent="0.35">
      <c r="A188">
        <f t="shared" ca="1" si="44"/>
        <v>1</v>
      </c>
      <c r="B188" s="4" t="str">
        <f t="shared" ca="1" si="42"/>
        <v>M</v>
      </c>
      <c r="C188" s="3">
        <f t="shared" ca="1" si="45"/>
        <v>5</v>
      </c>
      <c r="D188" s="3">
        <f t="shared" ca="1" si="43"/>
        <v>19</v>
      </c>
      <c r="E188" s="3" t="str">
        <f t="shared" ca="1" si="46"/>
        <v>Research</v>
      </c>
      <c r="F188" s="3">
        <f t="shared" ca="1" si="47"/>
        <v>7</v>
      </c>
      <c r="G188" s="3" t="str">
        <f t="shared" ca="1" si="48"/>
        <v>Other</v>
      </c>
      <c r="H188" s="3">
        <f t="shared" ca="1" si="49"/>
        <v>4</v>
      </c>
      <c r="I188" s="3">
        <f t="shared" ca="1" si="50"/>
        <v>2</v>
      </c>
      <c r="J188" s="3">
        <f t="shared" ca="1" si="51"/>
        <v>2</v>
      </c>
      <c r="K188" s="3" t="str">
        <f t="shared" ca="1" si="52"/>
        <v>Uttar Pradesh</v>
      </c>
      <c r="L188" s="3">
        <f t="shared" ca="1" si="53"/>
        <v>48557</v>
      </c>
      <c r="M188" s="3">
        <f t="shared" ca="1" si="54"/>
        <v>339899</v>
      </c>
      <c r="N188" s="3">
        <f t="shared" ca="1" si="55"/>
        <v>297377.71672424831</v>
      </c>
      <c r="O188" s="3">
        <f t="shared" ca="1" si="56"/>
        <v>19271.365910320455</v>
      </c>
      <c r="P188" s="3">
        <f t="shared" ca="1" si="57"/>
        <v>1164.3986515726026</v>
      </c>
      <c r="Q188" s="3">
        <f t="shared" ca="1" si="58"/>
        <v>27394.216768752365</v>
      </c>
      <c r="R188" s="3">
        <f t="shared" ca="1" si="59"/>
        <v>13885.631304013561</v>
      </c>
      <c r="S188" s="3">
        <f t="shared" ca="1" si="60"/>
        <v>373055.99721433397</v>
      </c>
      <c r="T188" s="3">
        <f t="shared" ca="1" si="61"/>
        <v>325936.33214457327</v>
      </c>
      <c r="U188" s="5">
        <f t="shared" ca="1" si="62"/>
        <v>47119.665069760696</v>
      </c>
    </row>
    <row r="189" spans="1:21" x14ac:dyDescent="0.35">
      <c r="A189">
        <f t="shared" ca="1" si="44"/>
        <v>1</v>
      </c>
      <c r="B189" s="4" t="str">
        <f t="shared" ca="1" si="42"/>
        <v>M</v>
      </c>
      <c r="C189" s="3">
        <f t="shared" ca="1" si="45"/>
        <v>5</v>
      </c>
      <c r="D189" s="3">
        <f t="shared" ca="1" si="43"/>
        <v>35</v>
      </c>
      <c r="E189" s="3" t="str">
        <f t="shared" ca="1" si="46"/>
        <v>Research</v>
      </c>
      <c r="F189" s="3">
        <f t="shared" ca="1" si="47"/>
        <v>3</v>
      </c>
      <c r="G189" s="3" t="str">
        <f t="shared" ca="1" si="48"/>
        <v>UG</v>
      </c>
      <c r="H189" s="3">
        <f t="shared" ca="1" si="49"/>
        <v>0</v>
      </c>
      <c r="I189" s="3">
        <f t="shared" ca="1" si="50"/>
        <v>3</v>
      </c>
      <c r="J189" s="3">
        <f t="shared" ca="1" si="51"/>
        <v>15</v>
      </c>
      <c r="K189" s="3" t="str">
        <f t="shared" ca="1" si="52"/>
        <v>Kerela</v>
      </c>
      <c r="L189" s="3">
        <f t="shared" ca="1" si="53"/>
        <v>69834</v>
      </c>
      <c r="M189" s="3">
        <f t="shared" ca="1" si="54"/>
        <v>349170</v>
      </c>
      <c r="N189" s="3">
        <f t="shared" ca="1" si="55"/>
        <v>226721.53181649049</v>
      </c>
      <c r="O189" s="3">
        <f t="shared" ca="1" si="56"/>
        <v>39522.506288259392</v>
      </c>
      <c r="P189" s="3">
        <f t="shared" ca="1" si="57"/>
        <v>19093.632598063752</v>
      </c>
      <c r="Q189" s="3">
        <f t="shared" ca="1" si="58"/>
        <v>47395.283359640023</v>
      </c>
      <c r="R189" s="3">
        <f t="shared" ca="1" si="59"/>
        <v>2315.8364327180243</v>
      </c>
      <c r="S189" s="3">
        <f t="shared" ca="1" si="60"/>
        <v>391008.34272097744</v>
      </c>
      <c r="T189" s="3">
        <f t="shared" ca="1" si="61"/>
        <v>293210.4477741943</v>
      </c>
      <c r="U189" s="5">
        <f t="shared" ca="1" si="62"/>
        <v>97797.894946783141</v>
      </c>
    </row>
    <row r="190" spans="1:21" x14ac:dyDescent="0.35">
      <c r="A190">
        <f t="shared" ca="1" si="44"/>
        <v>2</v>
      </c>
      <c r="B190" s="4" t="str">
        <f t="shared" ca="1" si="42"/>
        <v>F</v>
      </c>
      <c r="C190" s="3">
        <f t="shared" ca="1" si="45"/>
        <v>4</v>
      </c>
      <c r="D190" s="3">
        <f t="shared" ca="1" si="43"/>
        <v>40</v>
      </c>
      <c r="E190" s="3" t="str">
        <f t="shared" ca="1" si="46"/>
        <v>Accounting</v>
      </c>
      <c r="F190" s="3">
        <f t="shared" ca="1" si="47"/>
        <v>6</v>
      </c>
      <c r="G190" s="3" t="str">
        <f t="shared" ca="1" si="48"/>
        <v>Doctorate</v>
      </c>
      <c r="H190" s="3">
        <f t="shared" ca="1" si="49"/>
        <v>3</v>
      </c>
      <c r="I190" s="3">
        <f t="shared" ca="1" si="50"/>
        <v>2</v>
      </c>
      <c r="J190" s="3">
        <f t="shared" ca="1" si="51"/>
        <v>26</v>
      </c>
      <c r="K190" s="3" t="str">
        <f t="shared" ca="1" si="52"/>
        <v>Tripura</v>
      </c>
      <c r="L190" s="3">
        <f t="shared" ca="1" si="53"/>
        <v>37156</v>
      </c>
      <c r="M190" s="3">
        <f t="shared" ca="1" si="54"/>
        <v>260092</v>
      </c>
      <c r="N190" s="3">
        <f t="shared" ca="1" si="55"/>
        <v>38049.993452335366</v>
      </c>
      <c r="O190" s="3">
        <f t="shared" ca="1" si="56"/>
        <v>68296.059853262734</v>
      </c>
      <c r="P190" s="3">
        <f t="shared" ca="1" si="57"/>
        <v>63299.082118631799</v>
      </c>
      <c r="Q190" s="3">
        <f t="shared" ca="1" si="58"/>
        <v>29924.909601759118</v>
      </c>
      <c r="R190" s="3">
        <f t="shared" ca="1" si="59"/>
        <v>20552.258084103411</v>
      </c>
      <c r="S190" s="3">
        <f t="shared" ca="1" si="60"/>
        <v>348940.31793736614</v>
      </c>
      <c r="T190" s="3">
        <f t="shared" ca="1" si="61"/>
        <v>131273.98517272627</v>
      </c>
      <c r="U190" s="5">
        <f t="shared" ca="1" si="62"/>
        <v>217666.33276463987</v>
      </c>
    </row>
    <row r="191" spans="1:21" x14ac:dyDescent="0.35">
      <c r="A191">
        <f t="shared" ca="1" si="44"/>
        <v>1</v>
      </c>
      <c r="B191" s="4" t="str">
        <f t="shared" ca="1" si="42"/>
        <v>M</v>
      </c>
      <c r="C191" s="3">
        <f t="shared" ca="1" si="45"/>
        <v>6</v>
      </c>
      <c r="D191" s="3">
        <f t="shared" ca="1" si="43"/>
        <v>43</v>
      </c>
      <c r="E191" s="3" t="str">
        <f t="shared" ca="1" si="46"/>
        <v>Art</v>
      </c>
      <c r="F191" s="3">
        <f t="shared" ca="1" si="47"/>
        <v>1</v>
      </c>
      <c r="G191" s="3" t="str">
        <f t="shared" ca="1" si="48"/>
        <v>Secondary</v>
      </c>
      <c r="H191" s="3">
        <f t="shared" ca="1" si="49"/>
        <v>2</v>
      </c>
      <c r="I191" s="3">
        <f t="shared" ca="1" si="50"/>
        <v>2</v>
      </c>
      <c r="J191" s="3">
        <f t="shared" ca="1" si="51"/>
        <v>26</v>
      </c>
      <c r="K191" s="3" t="str">
        <f t="shared" ca="1" si="52"/>
        <v>Tripura</v>
      </c>
      <c r="L191" s="3">
        <f t="shared" ca="1" si="53"/>
        <v>97983</v>
      </c>
      <c r="M191" s="3">
        <f t="shared" ca="1" si="54"/>
        <v>587898</v>
      </c>
      <c r="N191" s="3">
        <f t="shared" ca="1" si="55"/>
        <v>32467.396952305469</v>
      </c>
      <c r="O191" s="3">
        <f t="shared" ca="1" si="56"/>
        <v>172170.28819452674</v>
      </c>
      <c r="P191" s="3">
        <f t="shared" ca="1" si="57"/>
        <v>146798.50611746495</v>
      </c>
      <c r="Q191" s="3">
        <f t="shared" ca="1" si="58"/>
        <v>84967.09380448857</v>
      </c>
      <c r="R191" s="3">
        <f t="shared" ca="1" si="59"/>
        <v>43439.34460274571</v>
      </c>
      <c r="S191" s="3">
        <f t="shared" ca="1" si="60"/>
        <v>803507.63279727241</v>
      </c>
      <c r="T191" s="3">
        <f t="shared" ca="1" si="61"/>
        <v>264232.99687425897</v>
      </c>
      <c r="U191" s="5">
        <f t="shared" ca="1" si="62"/>
        <v>539274.63592301344</v>
      </c>
    </row>
    <row r="192" spans="1:21" x14ac:dyDescent="0.35">
      <c r="A192">
        <f t="shared" ca="1" si="44"/>
        <v>2</v>
      </c>
      <c r="B192" s="4" t="str">
        <f t="shared" ca="1" si="42"/>
        <v>F</v>
      </c>
      <c r="C192" s="3">
        <f t="shared" ca="1" si="45"/>
        <v>6</v>
      </c>
      <c r="D192" s="3">
        <f t="shared" ca="1" si="43"/>
        <v>29</v>
      </c>
      <c r="E192" s="3" t="str">
        <f t="shared" ca="1" si="46"/>
        <v>Art</v>
      </c>
      <c r="F192" s="3">
        <f t="shared" ca="1" si="47"/>
        <v>6</v>
      </c>
      <c r="G192" s="3" t="str">
        <f t="shared" ca="1" si="48"/>
        <v>Doctorate</v>
      </c>
      <c r="H192" s="3">
        <f t="shared" ca="1" si="49"/>
        <v>0</v>
      </c>
      <c r="I192" s="3">
        <f t="shared" ca="1" si="50"/>
        <v>2</v>
      </c>
      <c r="J192" s="3">
        <f t="shared" ca="1" si="51"/>
        <v>23</v>
      </c>
      <c r="K192" s="3" t="str">
        <f t="shared" ca="1" si="52"/>
        <v>Sikkim</v>
      </c>
      <c r="L192" s="3">
        <f t="shared" ca="1" si="53"/>
        <v>46523</v>
      </c>
      <c r="M192" s="3">
        <f t="shared" ca="1" si="54"/>
        <v>279138</v>
      </c>
      <c r="N192" s="3">
        <f t="shared" ca="1" si="55"/>
        <v>198837.72191495667</v>
      </c>
      <c r="O192" s="3">
        <f t="shared" ca="1" si="56"/>
        <v>11164.825688372748</v>
      </c>
      <c r="P192" s="3">
        <f t="shared" ca="1" si="57"/>
        <v>7724.6293863062683</v>
      </c>
      <c r="Q192" s="3">
        <f t="shared" ca="1" si="58"/>
        <v>34641.215570778222</v>
      </c>
      <c r="R192" s="3">
        <f t="shared" ca="1" si="59"/>
        <v>22731.596475657607</v>
      </c>
      <c r="S192" s="3">
        <f t="shared" ca="1" si="60"/>
        <v>313034.42216403037</v>
      </c>
      <c r="T192" s="3">
        <f t="shared" ca="1" si="61"/>
        <v>241203.56687204115</v>
      </c>
      <c r="U192" s="5">
        <f t="shared" ca="1" si="62"/>
        <v>71830.855291989224</v>
      </c>
    </row>
    <row r="193" spans="1:21" x14ac:dyDescent="0.35">
      <c r="A193">
        <f t="shared" ca="1" si="44"/>
        <v>2</v>
      </c>
      <c r="B193" s="4" t="str">
        <f t="shared" ca="1" si="42"/>
        <v>F</v>
      </c>
      <c r="C193" s="3">
        <f t="shared" ca="1" si="45"/>
        <v>7</v>
      </c>
      <c r="D193" s="3">
        <f t="shared" ca="1" si="43"/>
        <v>21</v>
      </c>
      <c r="E193" s="3" t="str">
        <f t="shared" ca="1" si="46"/>
        <v>Other</v>
      </c>
      <c r="F193" s="3">
        <f t="shared" ca="1" si="47"/>
        <v>4</v>
      </c>
      <c r="G193" s="3" t="str">
        <f t="shared" ca="1" si="48"/>
        <v>PG</v>
      </c>
      <c r="H193" s="3">
        <f t="shared" ca="1" si="49"/>
        <v>0</v>
      </c>
      <c r="I193" s="3">
        <f t="shared" ca="1" si="50"/>
        <v>0</v>
      </c>
      <c r="J193" s="3">
        <f t="shared" ca="1" si="51"/>
        <v>26</v>
      </c>
      <c r="K193" s="3" t="str">
        <f t="shared" ca="1" si="52"/>
        <v>Tripura</v>
      </c>
      <c r="L193" s="3">
        <f t="shared" ca="1" si="53"/>
        <v>51603</v>
      </c>
      <c r="M193" s="3">
        <f t="shared" ca="1" si="54"/>
        <v>361221</v>
      </c>
      <c r="N193" s="3">
        <f t="shared" ca="1" si="55"/>
        <v>236623.66155982888</v>
      </c>
      <c r="O193" s="3">
        <f t="shared" ca="1" si="56"/>
        <v>0</v>
      </c>
      <c r="P193" s="3">
        <f t="shared" ca="1" si="57"/>
        <v>0</v>
      </c>
      <c r="Q193" s="3">
        <f t="shared" ca="1" si="58"/>
        <v>45269.785016045695</v>
      </c>
      <c r="R193" s="3">
        <f t="shared" ca="1" si="59"/>
        <v>7933.477650067719</v>
      </c>
      <c r="S193" s="3">
        <f t="shared" ca="1" si="60"/>
        <v>369154.47765006771</v>
      </c>
      <c r="T193" s="3">
        <f t="shared" ca="1" si="61"/>
        <v>281893.44657587458</v>
      </c>
      <c r="U193" s="5">
        <f t="shared" ca="1" si="62"/>
        <v>87261.031074193132</v>
      </c>
    </row>
    <row r="194" spans="1:21" x14ac:dyDescent="0.35">
      <c r="A194">
        <f t="shared" ca="1" si="44"/>
        <v>1</v>
      </c>
      <c r="B194" s="4" t="str">
        <f t="shared" ca="1" si="42"/>
        <v>M</v>
      </c>
      <c r="C194" s="3">
        <f t="shared" ca="1" si="45"/>
        <v>1</v>
      </c>
      <c r="D194" s="3">
        <f t="shared" ca="1" si="43"/>
        <v>32</v>
      </c>
      <c r="E194" s="3" t="str">
        <f t="shared" ca="1" si="46"/>
        <v>Engineering</v>
      </c>
      <c r="F194" s="3">
        <f t="shared" ca="1" si="47"/>
        <v>2</v>
      </c>
      <c r="G194" s="3" t="str">
        <f t="shared" ca="1" si="48"/>
        <v>Senior Secondary</v>
      </c>
      <c r="H194" s="3">
        <f t="shared" ca="1" si="49"/>
        <v>2</v>
      </c>
      <c r="I194" s="3">
        <f t="shared" ca="1" si="50"/>
        <v>1</v>
      </c>
      <c r="J194" s="3">
        <f t="shared" ca="1" si="51"/>
        <v>6</v>
      </c>
      <c r="K194" s="3" t="str">
        <f t="shared" ca="1" si="52"/>
        <v>Arunachal Pradesh</v>
      </c>
      <c r="L194" s="3">
        <f t="shared" ca="1" si="53"/>
        <v>45461</v>
      </c>
      <c r="M194" s="3">
        <f t="shared" ca="1" si="54"/>
        <v>363688</v>
      </c>
      <c r="N194" s="3">
        <f t="shared" ca="1" si="55"/>
        <v>144977.18931010325</v>
      </c>
      <c r="O194" s="3">
        <f t="shared" ca="1" si="56"/>
        <v>19267.534131135606</v>
      </c>
      <c r="P194" s="3">
        <f t="shared" ca="1" si="57"/>
        <v>12685.147118630624</v>
      </c>
      <c r="Q194" s="3">
        <f t="shared" ca="1" si="58"/>
        <v>18737.296295228116</v>
      </c>
      <c r="R194" s="3">
        <f t="shared" ca="1" si="59"/>
        <v>1298.8899601718717</v>
      </c>
      <c r="S194" s="3">
        <f t="shared" ca="1" si="60"/>
        <v>384254.4240913075</v>
      </c>
      <c r="T194" s="3">
        <f t="shared" ca="1" si="61"/>
        <v>176399.63272396199</v>
      </c>
      <c r="U194" s="5">
        <f t="shared" ca="1" si="62"/>
        <v>207854.79136734552</v>
      </c>
    </row>
    <row r="195" spans="1:21" x14ac:dyDescent="0.35">
      <c r="A195">
        <f t="shared" ca="1" si="44"/>
        <v>2</v>
      </c>
      <c r="B195" s="4" t="str">
        <f t="shared" ca="1" si="42"/>
        <v>F</v>
      </c>
      <c r="C195" s="3">
        <f t="shared" ca="1" si="45"/>
        <v>3</v>
      </c>
      <c r="D195" s="3">
        <f t="shared" ca="1" si="43"/>
        <v>26</v>
      </c>
      <c r="E195" s="3" t="str">
        <f t="shared" ca="1" si="46"/>
        <v>IT</v>
      </c>
      <c r="F195" s="3">
        <f t="shared" ca="1" si="47"/>
        <v>1</v>
      </c>
      <c r="G195" s="3" t="str">
        <f t="shared" ca="1" si="48"/>
        <v>Secondary</v>
      </c>
      <c r="H195" s="3">
        <f t="shared" ca="1" si="49"/>
        <v>3</v>
      </c>
      <c r="I195" s="3">
        <f t="shared" ca="1" si="50"/>
        <v>2</v>
      </c>
      <c r="J195" s="3">
        <f t="shared" ca="1" si="51"/>
        <v>3</v>
      </c>
      <c r="K195" s="3" t="str">
        <f t="shared" ca="1" si="52"/>
        <v>Punjab</v>
      </c>
      <c r="L195" s="3">
        <f t="shared" ca="1" si="53"/>
        <v>70034</v>
      </c>
      <c r="M195" s="3">
        <f t="shared" ca="1" si="54"/>
        <v>490238</v>
      </c>
      <c r="N195" s="3">
        <f t="shared" ca="1" si="55"/>
        <v>11476.162961230317</v>
      </c>
      <c r="O195" s="3">
        <f t="shared" ca="1" si="56"/>
        <v>45417.60977551969</v>
      </c>
      <c r="P195" s="3">
        <f t="shared" ca="1" si="57"/>
        <v>5607.5897017959669</v>
      </c>
      <c r="Q195" s="3">
        <f t="shared" ca="1" si="58"/>
        <v>40954.914195434678</v>
      </c>
      <c r="R195" s="3">
        <f t="shared" ca="1" si="59"/>
        <v>50632.032445760553</v>
      </c>
      <c r="S195" s="3">
        <f t="shared" ca="1" si="60"/>
        <v>586287.64222128026</v>
      </c>
      <c r="T195" s="3">
        <f t="shared" ca="1" si="61"/>
        <v>58038.666858460958</v>
      </c>
      <c r="U195" s="5">
        <f t="shared" ca="1" si="62"/>
        <v>528248.97536281927</v>
      </c>
    </row>
    <row r="196" spans="1:21" x14ac:dyDescent="0.35">
      <c r="A196">
        <f t="shared" ca="1" si="44"/>
        <v>2</v>
      </c>
      <c r="B196" s="4" t="str">
        <f t="shared" ca="1" si="42"/>
        <v>F</v>
      </c>
      <c r="C196" s="3">
        <f t="shared" ca="1" si="45"/>
        <v>5</v>
      </c>
      <c r="D196" s="3">
        <f t="shared" ca="1" si="43"/>
        <v>28</v>
      </c>
      <c r="E196" s="3" t="str">
        <f t="shared" ca="1" si="46"/>
        <v>Research</v>
      </c>
      <c r="F196" s="3">
        <f t="shared" ca="1" si="47"/>
        <v>1</v>
      </c>
      <c r="G196" s="3" t="str">
        <f t="shared" ca="1" si="48"/>
        <v>Secondary</v>
      </c>
      <c r="H196" s="3">
        <f t="shared" ca="1" si="49"/>
        <v>1</v>
      </c>
      <c r="I196" s="3">
        <f t="shared" ca="1" si="50"/>
        <v>0</v>
      </c>
      <c r="J196" s="3">
        <f t="shared" ca="1" si="51"/>
        <v>3</v>
      </c>
      <c r="K196" s="3" t="str">
        <f t="shared" ca="1" si="52"/>
        <v>Punjab</v>
      </c>
      <c r="L196" s="3">
        <f t="shared" ca="1" si="53"/>
        <v>37333</v>
      </c>
      <c r="M196" s="3">
        <f t="shared" ca="1" si="54"/>
        <v>261331</v>
      </c>
      <c r="N196" s="3">
        <f t="shared" ca="1" si="55"/>
        <v>8184.1655550836749</v>
      </c>
      <c r="O196" s="3">
        <f t="shared" ca="1" si="56"/>
        <v>0</v>
      </c>
      <c r="P196" s="3">
        <f t="shared" ca="1" si="57"/>
        <v>0</v>
      </c>
      <c r="Q196" s="3">
        <f t="shared" ca="1" si="58"/>
        <v>7088.799267621288</v>
      </c>
      <c r="R196" s="3">
        <f t="shared" ca="1" si="59"/>
        <v>21997.891607043213</v>
      </c>
      <c r="S196" s="3">
        <f t="shared" ca="1" si="60"/>
        <v>283328.89160704322</v>
      </c>
      <c r="T196" s="3">
        <f t="shared" ca="1" si="61"/>
        <v>15272.964822704962</v>
      </c>
      <c r="U196" s="5">
        <f t="shared" ca="1" si="62"/>
        <v>268055.92678433825</v>
      </c>
    </row>
    <row r="197" spans="1:21" x14ac:dyDescent="0.35">
      <c r="A197">
        <f t="shared" ca="1" si="44"/>
        <v>2</v>
      </c>
      <c r="B197" s="4" t="str">
        <f t="shared" ca="1" si="42"/>
        <v>F</v>
      </c>
      <c r="C197" s="3">
        <f t="shared" ca="1" si="45"/>
        <v>5</v>
      </c>
      <c r="D197" s="3">
        <f t="shared" ca="1" si="43"/>
        <v>39</v>
      </c>
      <c r="E197" s="3" t="str">
        <f t="shared" ca="1" si="46"/>
        <v>Research</v>
      </c>
      <c r="F197" s="3">
        <f t="shared" ca="1" si="47"/>
        <v>6</v>
      </c>
      <c r="G197" s="3" t="str">
        <f t="shared" ca="1" si="48"/>
        <v>Doctorate</v>
      </c>
      <c r="H197" s="3">
        <f t="shared" ca="1" si="49"/>
        <v>4</v>
      </c>
      <c r="I197" s="3">
        <f t="shared" ca="1" si="50"/>
        <v>3</v>
      </c>
      <c r="J197" s="3">
        <f t="shared" ca="1" si="51"/>
        <v>12</v>
      </c>
      <c r="K197" s="3" t="str">
        <f t="shared" ca="1" si="52"/>
        <v>Himachal Pradesh</v>
      </c>
      <c r="L197" s="3">
        <f t="shared" ca="1" si="53"/>
        <v>71809</v>
      </c>
      <c r="M197" s="3">
        <f t="shared" ca="1" si="54"/>
        <v>502663</v>
      </c>
      <c r="N197" s="3">
        <f t="shared" ca="1" si="55"/>
        <v>176369.4782179622</v>
      </c>
      <c r="O197" s="3">
        <f t="shared" ca="1" si="56"/>
        <v>56476.290076911835</v>
      </c>
      <c r="P197" s="3">
        <f t="shared" ca="1" si="57"/>
        <v>51098.909406551902</v>
      </c>
      <c r="Q197" s="3">
        <f t="shared" ca="1" si="58"/>
        <v>16071.073980819037</v>
      </c>
      <c r="R197" s="3">
        <f t="shared" ca="1" si="59"/>
        <v>2793.3368992148098</v>
      </c>
      <c r="S197" s="3">
        <f t="shared" ca="1" si="60"/>
        <v>561932.62697612657</v>
      </c>
      <c r="T197" s="3">
        <f t="shared" ca="1" si="61"/>
        <v>243539.46160533314</v>
      </c>
      <c r="U197" s="5">
        <f t="shared" ca="1" si="62"/>
        <v>318393.16537079343</v>
      </c>
    </row>
    <row r="198" spans="1:21" x14ac:dyDescent="0.35">
      <c r="A198">
        <f t="shared" ca="1" si="44"/>
        <v>1</v>
      </c>
      <c r="B198" s="4" t="str">
        <f t="shared" ca="1" si="42"/>
        <v>M</v>
      </c>
      <c r="C198" s="3">
        <f t="shared" ca="1" si="45"/>
        <v>5</v>
      </c>
      <c r="D198" s="3">
        <f t="shared" ca="1" si="43"/>
        <v>18</v>
      </c>
      <c r="E198" s="3" t="str">
        <f t="shared" ca="1" si="46"/>
        <v>Research</v>
      </c>
      <c r="F198" s="3">
        <f t="shared" ca="1" si="47"/>
        <v>1</v>
      </c>
      <c r="G198" s="3" t="str">
        <f t="shared" ca="1" si="48"/>
        <v>Secondary</v>
      </c>
      <c r="H198" s="3">
        <f t="shared" ca="1" si="49"/>
        <v>2</v>
      </c>
      <c r="I198" s="3">
        <f t="shared" ca="1" si="50"/>
        <v>2</v>
      </c>
      <c r="J198" s="3">
        <f t="shared" ca="1" si="51"/>
        <v>21</v>
      </c>
      <c r="K198" s="3" t="str">
        <f t="shared" ca="1" si="52"/>
        <v>Odisha</v>
      </c>
      <c r="L198" s="3">
        <f t="shared" ca="1" si="53"/>
        <v>78479</v>
      </c>
      <c r="M198" s="3">
        <f t="shared" ca="1" si="54"/>
        <v>627832</v>
      </c>
      <c r="N198" s="3">
        <f t="shared" ca="1" si="55"/>
        <v>183903.29732257177</v>
      </c>
      <c r="O198" s="3">
        <f t="shared" ca="1" si="56"/>
        <v>42836.216742749682</v>
      </c>
      <c r="P198" s="3">
        <f t="shared" ca="1" si="57"/>
        <v>22671.495581731946</v>
      </c>
      <c r="Q198" s="3">
        <f t="shared" ca="1" si="58"/>
        <v>10232.208549714804</v>
      </c>
      <c r="R198" s="3">
        <f t="shared" ca="1" si="59"/>
        <v>29868.63148643043</v>
      </c>
      <c r="S198" s="3">
        <f t="shared" ca="1" si="60"/>
        <v>700536.84822918009</v>
      </c>
      <c r="T198" s="3">
        <f t="shared" ca="1" si="61"/>
        <v>216807.00145401852</v>
      </c>
      <c r="U198" s="5">
        <f t="shared" ca="1" si="62"/>
        <v>483729.84677516157</v>
      </c>
    </row>
    <row r="199" spans="1:21" x14ac:dyDescent="0.35">
      <c r="A199">
        <f t="shared" ca="1" si="44"/>
        <v>1</v>
      </c>
      <c r="B199" s="4" t="str">
        <f t="shared" ref="B199:B262" ca="1" si="63">IF(A199=1,"M","F")</f>
        <v>M</v>
      </c>
      <c r="C199" s="3">
        <f t="shared" ca="1" si="45"/>
        <v>6</v>
      </c>
      <c r="D199" s="3">
        <f t="shared" ref="D199:D262" ca="1" si="64">RANDBETWEEN(18,45)</f>
        <v>34</v>
      </c>
      <c r="E199" s="3" t="str">
        <f t="shared" ca="1" si="46"/>
        <v>Art</v>
      </c>
      <c r="F199" s="3">
        <f t="shared" ca="1" si="47"/>
        <v>1</v>
      </c>
      <c r="G199" s="3" t="str">
        <f t="shared" ca="1" si="48"/>
        <v>Secondary</v>
      </c>
      <c r="H199" s="3">
        <f t="shared" ca="1" si="49"/>
        <v>0</v>
      </c>
      <c r="I199" s="3">
        <f t="shared" ca="1" si="50"/>
        <v>1</v>
      </c>
      <c r="J199" s="3">
        <f t="shared" ca="1" si="51"/>
        <v>28</v>
      </c>
      <c r="K199" s="3" t="str">
        <f t="shared" ca="1" si="52"/>
        <v>West Bengal</v>
      </c>
      <c r="L199" s="3">
        <f t="shared" ca="1" si="53"/>
        <v>53626</v>
      </c>
      <c r="M199" s="3">
        <f t="shared" ca="1" si="54"/>
        <v>321756</v>
      </c>
      <c r="N199" s="3">
        <f t="shared" ca="1" si="55"/>
        <v>205564.11633307874</v>
      </c>
      <c r="O199" s="3">
        <f t="shared" ca="1" si="56"/>
        <v>51808.782835279693</v>
      </c>
      <c r="P199" s="3">
        <f t="shared" ca="1" si="57"/>
        <v>3853.2357539578702</v>
      </c>
      <c r="Q199" s="3">
        <f t="shared" ca="1" si="58"/>
        <v>3473.8938291623285</v>
      </c>
      <c r="R199" s="3">
        <f t="shared" ca="1" si="59"/>
        <v>29113.906021418119</v>
      </c>
      <c r="S199" s="3">
        <f t="shared" ca="1" si="60"/>
        <v>402678.68885669782</v>
      </c>
      <c r="T199" s="3">
        <f t="shared" ca="1" si="61"/>
        <v>212891.24591619894</v>
      </c>
      <c r="U199" s="5">
        <f t="shared" ca="1" si="62"/>
        <v>189787.44294049888</v>
      </c>
    </row>
    <row r="200" spans="1:21" x14ac:dyDescent="0.35">
      <c r="A200">
        <f t="shared" ref="A200:A263" ca="1" si="65">RANDBETWEEN(1,2)</f>
        <v>2</v>
      </c>
      <c r="B200" s="4" t="str">
        <f t="shared" ca="1" si="63"/>
        <v>F</v>
      </c>
      <c r="C200" s="3">
        <f t="shared" ref="C200:C263" ca="1" si="66">RANDBETWEEN(1,7)</f>
        <v>3</v>
      </c>
      <c r="D200" s="3">
        <f t="shared" ca="1" si="64"/>
        <v>31</v>
      </c>
      <c r="E200" s="3" t="str">
        <f t="shared" ref="E200:E263" ca="1" si="67">VLOOKUP(C200,$Y$7:$Z$13,2)</f>
        <v>IT</v>
      </c>
      <c r="F200" s="3">
        <f t="shared" ref="F200:F263" ca="1" si="68">RANDBETWEEN(1,7)</f>
        <v>6</v>
      </c>
      <c r="G200" s="3" t="str">
        <f t="shared" ref="G200:G263" ca="1" si="69">VLOOKUP(F200,$AB$7:$AC$13,2)</f>
        <v>Doctorate</v>
      </c>
      <c r="H200" s="3">
        <f t="shared" ref="H200:H263" ca="1" si="70">RANDBETWEEN(0,4)</f>
        <v>0</v>
      </c>
      <c r="I200" s="3">
        <f t="shared" ref="I200:I263" ca="1" si="71">RANDBETWEEN(0,3)</f>
        <v>1</v>
      </c>
      <c r="J200" s="3">
        <f t="shared" ref="J200:J263" ca="1" si="72">RANDBETWEEN(1,28)</f>
        <v>3</v>
      </c>
      <c r="K200" s="3" t="str">
        <f t="shared" ref="K200:K263" ca="1" si="73">VLOOKUP(J200,$AE$7:$AF$34,2)</f>
        <v>Punjab</v>
      </c>
      <c r="L200" s="3">
        <f t="shared" ref="L200:L263" ca="1" si="74">RANDBETWEEN(25000,99000)</f>
        <v>88291</v>
      </c>
      <c r="M200" s="3">
        <f t="shared" ref="M200:M263" ca="1" si="75">L200*RANDBETWEEN(5,9)</f>
        <v>441455</v>
      </c>
      <c r="N200" s="3">
        <f t="shared" ref="N200:N263" ca="1" si="76">RAND()*M200</f>
        <v>265917.907015462</v>
      </c>
      <c r="O200" s="3">
        <f t="shared" ref="O200:O263" ca="1" si="77">RAND()*I200*L200</f>
        <v>84133.793796475322</v>
      </c>
      <c r="P200" s="3">
        <f t="shared" ref="P200:P263" ca="1" si="78">O200*RAND()</f>
        <v>60559.536610591378</v>
      </c>
      <c r="Q200" s="3">
        <f t="shared" ref="Q200:Q263" ca="1" si="79">RAND()*L200</f>
        <v>50414.422581422579</v>
      </c>
      <c r="R200" s="3">
        <f t="shared" ref="R200:R263" ca="1" si="80">RAND()*L200</f>
        <v>81822.191711700667</v>
      </c>
      <c r="S200" s="3">
        <f t="shared" ref="S200:S263" ca="1" si="81">M200+O200+R200</f>
        <v>607410.98550817592</v>
      </c>
      <c r="T200" s="3">
        <f t="shared" ref="T200:T263" ca="1" si="82">N200+P200+Q200</f>
        <v>376891.86620747601</v>
      </c>
      <c r="U200" s="5">
        <f t="shared" ref="U200:U263" ca="1" si="83">S200-T200</f>
        <v>230519.11930069991</v>
      </c>
    </row>
    <row r="201" spans="1:21" x14ac:dyDescent="0.35">
      <c r="A201">
        <f t="shared" ca="1" si="65"/>
        <v>2</v>
      </c>
      <c r="B201" s="4" t="str">
        <f t="shared" ca="1" si="63"/>
        <v>F</v>
      </c>
      <c r="C201" s="3">
        <f t="shared" ca="1" si="66"/>
        <v>6</v>
      </c>
      <c r="D201" s="3">
        <f t="shared" ca="1" si="64"/>
        <v>34</v>
      </c>
      <c r="E201" s="3" t="str">
        <f t="shared" ca="1" si="67"/>
        <v>Art</v>
      </c>
      <c r="F201" s="3">
        <f t="shared" ca="1" si="68"/>
        <v>6</v>
      </c>
      <c r="G201" s="3" t="str">
        <f t="shared" ca="1" si="69"/>
        <v>Doctorate</v>
      </c>
      <c r="H201" s="3">
        <f t="shared" ca="1" si="70"/>
        <v>3</v>
      </c>
      <c r="I201" s="3">
        <f t="shared" ca="1" si="71"/>
        <v>3</v>
      </c>
      <c r="J201" s="3">
        <f t="shared" ca="1" si="72"/>
        <v>12</v>
      </c>
      <c r="K201" s="3" t="str">
        <f t="shared" ca="1" si="73"/>
        <v>Himachal Pradesh</v>
      </c>
      <c r="L201" s="3">
        <f t="shared" ca="1" si="74"/>
        <v>33884</v>
      </c>
      <c r="M201" s="3">
        <f t="shared" ca="1" si="75"/>
        <v>304956</v>
      </c>
      <c r="N201" s="3">
        <f t="shared" ca="1" si="76"/>
        <v>34306.451287142801</v>
      </c>
      <c r="O201" s="3">
        <f t="shared" ca="1" si="77"/>
        <v>35500.219607542836</v>
      </c>
      <c r="P201" s="3">
        <f t="shared" ca="1" si="78"/>
        <v>8742.0862848084071</v>
      </c>
      <c r="Q201" s="3">
        <f t="shared" ca="1" si="79"/>
        <v>2577.5705015884851</v>
      </c>
      <c r="R201" s="3">
        <f t="shared" ca="1" si="80"/>
        <v>14947.024393843685</v>
      </c>
      <c r="S201" s="3">
        <f t="shared" ca="1" si="81"/>
        <v>355403.24400138651</v>
      </c>
      <c r="T201" s="3">
        <f t="shared" ca="1" si="82"/>
        <v>45626.108073539697</v>
      </c>
      <c r="U201" s="5">
        <f t="shared" ca="1" si="83"/>
        <v>309777.13592784683</v>
      </c>
    </row>
    <row r="202" spans="1:21" x14ac:dyDescent="0.35">
      <c r="A202">
        <f t="shared" ca="1" si="65"/>
        <v>1</v>
      </c>
      <c r="B202" s="4" t="str">
        <f t="shared" ca="1" si="63"/>
        <v>M</v>
      </c>
      <c r="C202" s="3">
        <f t="shared" ca="1" si="66"/>
        <v>7</v>
      </c>
      <c r="D202" s="3">
        <f t="shared" ca="1" si="64"/>
        <v>40</v>
      </c>
      <c r="E202" s="3" t="str">
        <f t="shared" ca="1" si="67"/>
        <v>Other</v>
      </c>
      <c r="F202" s="3">
        <f t="shared" ca="1" si="68"/>
        <v>1</v>
      </c>
      <c r="G202" s="3" t="str">
        <f t="shared" ca="1" si="69"/>
        <v>Secondary</v>
      </c>
      <c r="H202" s="3">
        <f t="shared" ca="1" si="70"/>
        <v>2</v>
      </c>
      <c r="I202" s="3">
        <f t="shared" ca="1" si="71"/>
        <v>3</v>
      </c>
      <c r="J202" s="3">
        <f t="shared" ca="1" si="72"/>
        <v>26</v>
      </c>
      <c r="K202" s="3" t="str">
        <f t="shared" ca="1" si="73"/>
        <v>Tripura</v>
      </c>
      <c r="L202" s="3">
        <f t="shared" ca="1" si="74"/>
        <v>81151</v>
      </c>
      <c r="M202" s="3">
        <f t="shared" ca="1" si="75"/>
        <v>568057</v>
      </c>
      <c r="N202" s="3">
        <f t="shared" ca="1" si="76"/>
        <v>63263.683358025053</v>
      </c>
      <c r="O202" s="3">
        <f t="shared" ca="1" si="77"/>
        <v>109920.02063550889</v>
      </c>
      <c r="P202" s="3">
        <f t="shared" ca="1" si="78"/>
        <v>39588.855373257422</v>
      </c>
      <c r="Q202" s="3">
        <f t="shared" ca="1" si="79"/>
        <v>59169.108160926837</v>
      </c>
      <c r="R202" s="3">
        <f t="shared" ca="1" si="80"/>
        <v>20079.02137930231</v>
      </c>
      <c r="S202" s="3">
        <f t="shared" ca="1" si="81"/>
        <v>698056.04201481119</v>
      </c>
      <c r="T202" s="3">
        <f t="shared" ca="1" si="82"/>
        <v>162021.6468922093</v>
      </c>
      <c r="U202" s="5">
        <f t="shared" ca="1" si="83"/>
        <v>536034.39512260188</v>
      </c>
    </row>
    <row r="203" spans="1:21" x14ac:dyDescent="0.35">
      <c r="A203">
        <f t="shared" ca="1" si="65"/>
        <v>2</v>
      </c>
      <c r="B203" s="4" t="str">
        <f t="shared" ca="1" si="63"/>
        <v>F</v>
      </c>
      <c r="C203" s="3">
        <f t="shared" ca="1" si="66"/>
        <v>7</v>
      </c>
      <c r="D203" s="3">
        <f t="shared" ca="1" si="64"/>
        <v>29</v>
      </c>
      <c r="E203" s="3" t="str">
        <f t="shared" ca="1" si="67"/>
        <v>Other</v>
      </c>
      <c r="F203" s="3">
        <f t="shared" ca="1" si="68"/>
        <v>1</v>
      </c>
      <c r="G203" s="3" t="str">
        <f t="shared" ca="1" si="69"/>
        <v>Secondary</v>
      </c>
      <c r="H203" s="3">
        <f t="shared" ca="1" si="70"/>
        <v>4</v>
      </c>
      <c r="I203" s="3">
        <f t="shared" ca="1" si="71"/>
        <v>2</v>
      </c>
      <c r="J203" s="3">
        <f t="shared" ca="1" si="72"/>
        <v>13</v>
      </c>
      <c r="K203" s="3" t="str">
        <f t="shared" ca="1" si="73"/>
        <v>Jharkhand</v>
      </c>
      <c r="L203" s="3">
        <f t="shared" ca="1" si="74"/>
        <v>66349</v>
      </c>
      <c r="M203" s="3">
        <f t="shared" ca="1" si="75"/>
        <v>464443</v>
      </c>
      <c r="N203" s="3">
        <f t="shared" ca="1" si="76"/>
        <v>23365.190235945505</v>
      </c>
      <c r="O203" s="3">
        <f t="shared" ca="1" si="77"/>
        <v>61263.935589269429</v>
      </c>
      <c r="P203" s="3">
        <f t="shared" ca="1" si="78"/>
        <v>56243.352990775158</v>
      </c>
      <c r="Q203" s="3">
        <f t="shared" ca="1" si="79"/>
        <v>40244.389794677343</v>
      </c>
      <c r="R203" s="3">
        <f t="shared" ca="1" si="80"/>
        <v>9005.1628382944873</v>
      </c>
      <c r="S203" s="3">
        <f t="shared" ca="1" si="81"/>
        <v>534712.09842756391</v>
      </c>
      <c r="T203" s="3">
        <f t="shared" ca="1" si="82"/>
        <v>119852.933021398</v>
      </c>
      <c r="U203" s="5">
        <f t="shared" ca="1" si="83"/>
        <v>414859.16540616588</v>
      </c>
    </row>
    <row r="204" spans="1:21" x14ac:dyDescent="0.35">
      <c r="A204">
        <f t="shared" ca="1" si="65"/>
        <v>2</v>
      </c>
      <c r="B204" s="4" t="str">
        <f t="shared" ca="1" si="63"/>
        <v>F</v>
      </c>
      <c r="C204" s="3">
        <f t="shared" ca="1" si="66"/>
        <v>1</v>
      </c>
      <c r="D204" s="3">
        <f t="shared" ca="1" si="64"/>
        <v>20</v>
      </c>
      <c r="E204" s="3" t="str">
        <f t="shared" ca="1" si="67"/>
        <v>Engineering</v>
      </c>
      <c r="F204" s="3">
        <f t="shared" ca="1" si="68"/>
        <v>7</v>
      </c>
      <c r="G204" s="3" t="str">
        <f t="shared" ca="1" si="69"/>
        <v>Other</v>
      </c>
      <c r="H204" s="3">
        <f t="shared" ca="1" si="70"/>
        <v>1</v>
      </c>
      <c r="I204" s="3">
        <f t="shared" ca="1" si="71"/>
        <v>0</v>
      </c>
      <c r="J204" s="3">
        <f t="shared" ca="1" si="72"/>
        <v>15</v>
      </c>
      <c r="K204" s="3" t="str">
        <f t="shared" ca="1" si="73"/>
        <v>Kerela</v>
      </c>
      <c r="L204" s="3">
        <f t="shared" ca="1" si="74"/>
        <v>58170</v>
      </c>
      <c r="M204" s="3">
        <f t="shared" ca="1" si="75"/>
        <v>349020</v>
      </c>
      <c r="N204" s="3">
        <f t="shared" ca="1" si="76"/>
        <v>65251.940480137739</v>
      </c>
      <c r="O204" s="3">
        <f t="shared" ca="1" si="77"/>
        <v>0</v>
      </c>
      <c r="P204" s="3">
        <f t="shared" ca="1" si="78"/>
        <v>0</v>
      </c>
      <c r="Q204" s="3">
        <f t="shared" ca="1" si="79"/>
        <v>2894.6470001752296</v>
      </c>
      <c r="R204" s="3">
        <f t="shared" ca="1" si="80"/>
        <v>16597.482334794226</v>
      </c>
      <c r="S204" s="3">
        <f t="shared" ca="1" si="81"/>
        <v>365617.48233479424</v>
      </c>
      <c r="T204" s="3">
        <f t="shared" ca="1" si="82"/>
        <v>68146.58748031297</v>
      </c>
      <c r="U204" s="5">
        <f t="shared" ca="1" si="83"/>
        <v>297470.89485448127</v>
      </c>
    </row>
    <row r="205" spans="1:21" x14ac:dyDescent="0.35">
      <c r="A205">
        <f t="shared" ca="1" si="65"/>
        <v>1</v>
      </c>
      <c r="B205" s="4" t="str">
        <f t="shared" ca="1" si="63"/>
        <v>M</v>
      </c>
      <c r="C205" s="3">
        <f t="shared" ca="1" si="66"/>
        <v>3</v>
      </c>
      <c r="D205" s="3">
        <f t="shared" ca="1" si="64"/>
        <v>38</v>
      </c>
      <c r="E205" s="3" t="str">
        <f t="shared" ca="1" si="67"/>
        <v>IT</v>
      </c>
      <c r="F205" s="3">
        <f t="shared" ca="1" si="68"/>
        <v>2</v>
      </c>
      <c r="G205" s="3" t="str">
        <f t="shared" ca="1" si="69"/>
        <v>Senior Secondary</v>
      </c>
      <c r="H205" s="3">
        <f t="shared" ca="1" si="70"/>
        <v>3</v>
      </c>
      <c r="I205" s="3">
        <f t="shared" ca="1" si="71"/>
        <v>0</v>
      </c>
      <c r="J205" s="3">
        <f t="shared" ca="1" si="72"/>
        <v>5</v>
      </c>
      <c r="K205" s="3" t="str">
        <f t="shared" ca="1" si="73"/>
        <v>Andhra Pradesh</v>
      </c>
      <c r="L205" s="3">
        <f t="shared" ca="1" si="74"/>
        <v>81011</v>
      </c>
      <c r="M205" s="3">
        <f t="shared" ca="1" si="75"/>
        <v>486066</v>
      </c>
      <c r="N205" s="3">
        <f t="shared" ca="1" si="76"/>
        <v>200906.98404823474</v>
      </c>
      <c r="O205" s="3">
        <f t="shared" ca="1" si="77"/>
        <v>0</v>
      </c>
      <c r="P205" s="3">
        <f t="shared" ca="1" si="78"/>
        <v>0</v>
      </c>
      <c r="Q205" s="3">
        <f t="shared" ca="1" si="79"/>
        <v>33038.985720608129</v>
      </c>
      <c r="R205" s="3">
        <f t="shared" ca="1" si="80"/>
        <v>78480.172657077055</v>
      </c>
      <c r="S205" s="3">
        <f t="shared" ca="1" si="81"/>
        <v>564546.17265707708</v>
      </c>
      <c r="T205" s="3">
        <f t="shared" ca="1" si="82"/>
        <v>233945.96976884286</v>
      </c>
      <c r="U205" s="5">
        <f t="shared" ca="1" si="83"/>
        <v>330600.20288823423</v>
      </c>
    </row>
    <row r="206" spans="1:21" x14ac:dyDescent="0.35">
      <c r="A206">
        <f t="shared" ca="1" si="65"/>
        <v>2</v>
      </c>
      <c r="B206" s="4" t="str">
        <f t="shared" ca="1" si="63"/>
        <v>F</v>
      </c>
      <c r="C206" s="3">
        <f t="shared" ca="1" si="66"/>
        <v>7</v>
      </c>
      <c r="D206" s="3">
        <f t="shared" ca="1" si="64"/>
        <v>32</v>
      </c>
      <c r="E206" s="3" t="str">
        <f t="shared" ca="1" si="67"/>
        <v>Other</v>
      </c>
      <c r="F206" s="3">
        <f t="shared" ca="1" si="68"/>
        <v>1</v>
      </c>
      <c r="G206" s="3" t="str">
        <f t="shared" ca="1" si="69"/>
        <v>Secondary</v>
      </c>
      <c r="H206" s="3">
        <f t="shared" ca="1" si="70"/>
        <v>2</v>
      </c>
      <c r="I206" s="3">
        <f t="shared" ca="1" si="71"/>
        <v>0</v>
      </c>
      <c r="J206" s="3">
        <f t="shared" ca="1" si="72"/>
        <v>27</v>
      </c>
      <c r="K206" s="3" t="str">
        <f t="shared" ca="1" si="73"/>
        <v>Uttrakhand</v>
      </c>
      <c r="L206" s="3">
        <f t="shared" ca="1" si="74"/>
        <v>87196</v>
      </c>
      <c r="M206" s="3">
        <f t="shared" ca="1" si="75"/>
        <v>610372</v>
      </c>
      <c r="N206" s="3">
        <f t="shared" ca="1" si="76"/>
        <v>200098.68889920396</v>
      </c>
      <c r="O206" s="3">
        <f t="shared" ca="1" si="77"/>
        <v>0</v>
      </c>
      <c r="P206" s="3">
        <f t="shared" ca="1" si="78"/>
        <v>0</v>
      </c>
      <c r="Q206" s="3">
        <f t="shared" ca="1" si="79"/>
        <v>72553.447660047721</v>
      </c>
      <c r="R206" s="3">
        <f t="shared" ca="1" si="80"/>
        <v>181.27564429840433</v>
      </c>
      <c r="S206" s="3">
        <f t="shared" ca="1" si="81"/>
        <v>610553.27564429841</v>
      </c>
      <c r="T206" s="3">
        <f t="shared" ca="1" si="82"/>
        <v>272652.1365592517</v>
      </c>
      <c r="U206" s="5">
        <f t="shared" ca="1" si="83"/>
        <v>337901.13908504671</v>
      </c>
    </row>
    <row r="207" spans="1:21" x14ac:dyDescent="0.35">
      <c r="A207">
        <f t="shared" ca="1" si="65"/>
        <v>1</v>
      </c>
      <c r="B207" s="4" t="str">
        <f t="shared" ca="1" si="63"/>
        <v>M</v>
      </c>
      <c r="C207" s="3">
        <f t="shared" ca="1" si="66"/>
        <v>5</v>
      </c>
      <c r="D207" s="3">
        <f t="shared" ca="1" si="64"/>
        <v>35</v>
      </c>
      <c r="E207" s="3" t="str">
        <f t="shared" ca="1" si="67"/>
        <v>Research</v>
      </c>
      <c r="F207" s="3">
        <f t="shared" ca="1" si="68"/>
        <v>6</v>
      </c>
      <c r="G207" s="3" t="str">
        <f t="shared" ca="1" si="69"/>
        <v>Doctorate</v>
      </c>
      <c r="H207" s="3">
        <f t="shared" ca="1" si="70"/>
        <v>1</v>
      </c>
      <c r="I207" s="3">
        <f t="shared" ca="1" si="71"/>
        <v>2</v>
      </c>
      <c r="J207" s="3">
        <f t="shared" ca="1" si="72"/>
        <v>27</v>
      </c>
      <c r="K207" s="3" t="str">
        <f t="shared" ca="1" si="73"/>
        <v>Uttrakhand</v>
      </c>
      <c r="L207" s="3">
        <f t="shared" ca="1" si="74"/>
        <v>94552</v>
      </c>
      <c r="M207" s="3">
        <f t="shared" ca="1" si="75"/>
        <v>661864</v>
      </c>
      <c r="N207" s="3">
        <f t="shared" ca="1" si="76"/>
        <v>411619.81259713677</v>
      </c>
      <c r="O207" s="3">
        <f t="shared" ca="1" si="77"/>
        <v>133618.26677517104</v>
      </c>
      <c r="P207" s="3">
        <f t="shared" ca="1" si="78"/>
        <v>87040.681323386932</v>
      </c>
      <c r="Q207" s="3">
        <f t="shared" ca="1" si="79"/>
        <v>92072.711569444044</v>
      </c>
      <c r="R207" s="3">
        <f t="shared" ca="1" si="80"/>
        <v>6868.4900384218936</v>
      </c>
      <c r="S207" s="3">
        <f t="shared" ca="1" si="81"/>
        <v>802350.75681359298</v>
      </c>
      <c r="T207" s="3">
        <f t="shared" ca="1" si="82"/>
        <v>590733.20548996772</v>
      </c>
      <c r="U207" s="5">
        <f t="shared" ca="1" si="83"/>
        <v>211617.55132362526</v>
      </c>
    </row>
    <row r="208" spans="1:21" x14ac:dyDescent="0.35">
      <c r="A208">
        <f t="shared" ca="1" si="65"/>
        <v>1</v>
      </c>
      <c r="B208" s="4" t="str">
        <f t="shared" ca="1" si="63"/>
        <v>M</v>
      </c>
      <c r="C208" s="3">
        <f t="shared" ca="1" si="66"/>
        <v>2</v>
      </c>
      <c r="D208" s="3">
        <f t="shared" ca="1" si="64"/>
        <v>21</v>
      </c>
      <c r="E208" s="3" t="str">
        <f t="shared" ca="1" si="67"/>
        <v>Healthcare</v>
      </c>
      <c r="F208" s="3">
        <f t="shared" ca="1" si="68"/>
        <v>1</v>
      </c>
      <c r="G208" s="3" t="str">
        <f t="shared" ca="1" si="69"/>
        <v>Secondary</v>
      </c>
      <c r="H208" s="3">
        <f t="shared" ca="1" si="70"/>
        <v>3</v>
      </c>
      <c r="I208" s="3">
        <f t="shared" ca="1" si="71"/>
        <v>3</v>
      </c>
      <c r="J208" s="3">
        <f t="shared" ca="1" si="72"/>
        <v>1</v>
      </c>
      <c r="K208" s="3" t="str">
        <f t="shared" ca="1" si="73"/>
        <v>Haryana</v>
      </c>
      <c r="L208" s="3">
        <f t="shared" ca="1" si="74"/>
        <v>98344</v>
      </c>
      <c r="M208" s="3">
        <f t="shared" ca="1" si="75"/>
        <v>491720</v>
      </c>
      <c r="N208" s="3">
        <f t="shared" ca="1" si="76"/>
        <v>145291.30223558072</v>
      </c>
      <c r="O208" s="3">
        <f t="shared" ca="1" si="77"/>
        <v>266696.20051233558</v>
      </c>
      <c r="P208" s="3">
        <f t="shared" ca="1" si="78"/>
        <v>119941.56718085101</v>
      </c>
      <c r="Q208" s="3">
        <f t="shared" ca="1" si="79"/>
        <v>59636.924697989874</v>
      </c>
      <c r="R208" s="3">
        <f t="shared" ca="1" si="80"/>
        <v>15868.78847419548</v>
      </c>
      <c r="S208" s="3">
        <f t="shared" ca="1" si="81"/>
        <v>774284.98898653116</v>
      </c>
      <c r="T208" s="3">
        <f t="shared" ca="1" si="82"/>
        <v>324869.79411442165</v>
      </c>
      <c r="U208" s="5">
        <f t="shared" ca="1" si="83"/>
        <v>449415.19487210951</v>
      </c>
    </row>
    <row r="209" spans="1:21" x14ac:dyDescent="0.35">
      <c r="A209">
        <f t="shared" ca="1" si="65"/>
        <v>2</v>
      </c>
      <c r="B209" s="4" t="str">
        <f t="shared" ca="1" si="63"/>
        <v>F</v>
      </c>
      <c r="C209" s="3">
        <f t="shared" ca="1" si="66"/>
        <v>2</v>
      </c>
      <c r="D209" s="3">
        <f t="shared" ca="1" si="64"/>
        <v>24</v>
      </c>
      <c r="E209" s="3" t="str">
        <f t="shared" ca="1" si="67"/>
        <v>Healthcare</v>
      </c>
      <c r="F209" s="3">
        <f t="shared" ca="1" si="68"/>
        <v>6</v>
      </c>
      <c r="G209" s="3" t="str">
        <f t="shared" ca="1" si="69"/>
        <v>Doctorate</v>
      </c>
      <c r="H209" s="3">
        <f t="shared" ca="1" si="70"/>
        <v>1</v>
      </c>
      <c r="I209" s="3">
        <f t="shared" ca="1" si="71"/>
        <v>0</v>
      </c>
      <c r="J209" s="3">
        <f t="shared" ca="1" si="72"/>
        <v>24</v>
      </c>
      <c r="K209" s="3" t="str">
        <f t="shared" ca="1" si="73"/>
        <v>Tamil Nadu</v>
      </c>
      <c r="L209" s="3">
        <f t="shared" ca="1" si="74"/>
        <v>82865</v>
      </c>
      <c r="M209" s="3">
        <f t="shared" ca="1" si="75"/>
        <v>497190</v>
      </c>
      <c r="N209" s="3">
        <f t="shared" ca="1" si="76"/>
        <v>175284.45464960334</v>
      </c>
      <c r="O209" s="3">
        <f t="shared" ca="1" si="77"/>
        <v>0</v>
      </c>
      <c r="P209" s="3">
        <f t="shared" ca="1" si="78"/>
        <v>0</v>
      </c>
      <c r="Q209" s="3">
        <f t="shared" ca="1" si="79"/>
        <v>19687.004600871718</v>
      </c>
      <c r="R209" s="3">
        <f t="shared" ca="1" si="80"/>
        <v>62040.699172828034</v>
      </c>
      <c r="S209" s="3">
        <f t="shared" ca="1" si="81"/>
        <v>559230.699172828</v>
      </c>
      <c r="T209" s="3">
        <f t="shared" ca="1" si="82"/>
        <v>194971.45925047505</v>
      </c>
      <c r="U209" s="5">
        <f t="shared" ca="1" si="83"/>
        <v>364259.23992235295</v>
      </c>
    </row>
    <row r="210" spans="1:21" x14ac:dyDescent="0.35">
      <c r="A210">
        <f t="shared" ca="1" si="65"/>
        <v>2</v>
      </c>
      <c r="B210" s="4" t="str">
        <f t="shared" ca="1" si="63"/>
        <v>F</v>
      </c>
      <c r="C210" s="3">
        <f t="shared" ca="1" si="66"/>
        <v>3</v>
      </c>
      <c r="D210" s="3">
        <f t="shared" ca="1" si="64"/>
        <v>45</v>
      </c>
      <c r="E210" s="3" t="str">
        <f t="shared" ca="1" si="67"/>
        <v>IT</v>
      </c>
      <c r="F210" s="3">
        <f t="shared" ca="1" si="68"/>
        <v>4</v>
      </c>
      <c r="G210" s="3" t="str">
        <f t="shared" ca="1" si="69"/>
        <v>PG</v>
      </c>
      <c r="H210" s="3">
        <f t="shared" ca="1" si="70"/>
        <v>0</v>
      </c>
      <c r="I210" s="3">
        <f t="shared" ca="1" si="71"/>
        <v>1</v>
      </c>
      <c r="J210" s="3">
        <f t="shared" ca="1" si="72"/>
        <v>28</v>
      </c>
      <c r="K210" s="3" t="str">
        <f t="shared" ca="1" si="73"/>
        <v>West Bengal</v>
      </c>
      <c r="L210" s="3">
        <f t="shared" ca="1" si="74"/>
        <v>39677</v>
      </c>
      <c r="M210" s="3">
        <f t="shared" ca="1" si="75"/>
        <v>198385</v>
      </c>
      <c r="N210" s="3">
        <f t="shared" ca="1" si="76"/>
        <v>157539.45273830721</v>
      </c>
      <c r="O210" s="3">
        <f t="shared" ca="1" si="77"/>
        <v>14888.993353397544</v>
      </c>
      <c r="P210" s="3">
        <f t="shared" ca="1" si="78"/>
        <v>7241.5257452706201</v>
      </c>
      <c r="Q210" s="3">
        <f t="shared" ca="1" si="79"/>
        <v>914.47296629197706</v>
      </c>
      <c r="R210" s="3">
        <f t="shared" ca="1" si="80"/>
        <v>8621.9332942126421</v>
      </c>
      <c r="S210" s="3">
        <f t="shared" ca="1" si="81"/>
        <v>221895.92664761021</v>
      </c>
      <c r="T210" s="3">
        <f t="shared" ca="1" si="82"/>
        <v>165695.45144986981</v>
      </c>
      <c r="U210" s="5">
        <f t="shared" ca="1" si="83"/>
        <v>56200.475197740394</v>
      </c>
    </row>
    <row r="211" spans="1:21" x14ac:dyDescent="0.35">
      <c r="A211">
        <f t="shared" ca="1" si="65"/>
        <v>1</v>
      </c>
      <c r="B211" s="4" t="str">
        <f t="shared" ca="1" si="63"/>
        <v>M</v>
      </c>
      <c r="C211" s="3">
        <f t="shared" ca="1" si="66"/>
        <v>4</v>
      </c>
      <c r="D211" s="3">
        <f t="shared" ca="1" si="64"/>
        <v>19</v>
      </c>
      <c r="E211" s="3" t="str">
        <f t="shared" ca="1" si="67"/>
        <v>Accounting</v>
      </c>
      <c r="F211" s="3">
        <f t="shared" ca="1" si="68"/>
        <v>5</v>
      </c>
      <c r="G211" s="3" t="str">
        <f t="shared" ca="1" si="69"/>
        <v>Diploma</v>
      </c>
      <c r="H211" s="3">
        <f t="shared" ca="1" si="70"/>
        <v>4</v>
      </c>
      <c r="I211" s="3">
        <f t="shared" ca="1" si="71"/>
        <v>3</v>
      </c>
      <c r="J211" s="3">
        <f t="shared" ca="1" si="72"/>
        <v>6</v>
      </c>
      <c r="K211" s="3" t="str">
        <f t="shared" ca="1" si="73"/>
        <v>Arunachal Pradesh</v>
      </c>
      <c r="L211" s="3">
        <f t="shared" ca="1" si="74"/>
        <v>40169</v>
      </c>
      <c r="M211" s="3">
        <f t="shared" ca="1" si="75"/>
        <v>241014</v>
      </c>
      <c r="N211" s="3">
        <f t="shared" ca="1" si="76"/>
        <v>177500.44654566247</v>
      </c>
      <c r="O211" s="3">
        <f t="shared" ca="1" si="77"/>
        <v>97740.714050986731</v>
      </c>
      <c r="P211" s="3">
        <f t="shared" ca="1" si="78"/>
        <v>73875.871004388042</v>
      </c>
      <c r="Q211" s="3">
        <f t="shared" ca="1" si="79"/>
        <v>23096.691108170275</v>
      </c>
      <c r="R211" s="3">
        <f t="shared" ca="1" si="80"/>
        <v>1938.608803119603</v>
      </c>
      <c r="S211" s="3">
        <f t="shared" ca="1" si="81"/>
        <v>340693.32285410637</v>
      </c>
      <c r="T211" s="3">
        <f t="shared" ca="1" si="82"/>
        <v>274473.00865822076</v>
      </c>
      <c r="U211" s="5">
        <f t="shared" ca="1" si="83"/>
        <v>66220.314195885614</v>
      </c>
    </row>
    <row r="212" spans="1:21" x14ac:dyDescent="0.35">
      <c r="A212">
        <f t="shared" ca="1" si="65"/>
        <v>1</v>
      </c>
      <c r="B212" s="4" t="str">
        <f t="shared" ca="1" si="63"/>
        <v>M</v>
      </c>
      <c r="C212" s="3">
        <f t="shared" ca="1" si="66"/>
        <v>6</v>
      </c>
      <c r="D212" s="3">
        <f t="shared" ca="1" si="64"/>
        <v>25</v>
      </c>
      <c r="E212" s="3" t="str">
        <f t="shared" ca="1" si="67"/>
        <v>Art</v>
      </c>
      <c r="F212" s="3">
        <f t="shared" ca="1" si="68"/>
        <v>6</v>
      </c>
      <c r="G212" s="3" t="str">
        <f t="shared" ca="1" si="69"/>
        <v>Doctorate</v>
      </c>
      <c r="H212" s="3">
        <f t="shared" ca="1" si="70"/>
        <v>0</v>
      </c>
      <c r="I212" s="3">
        <f t="shared" ca="1" si="71"/>
        <v>2</v>
      </c>
      <c r="J212" s="3">
        <f t="shared" ca="1" si="72"/>
        <v>17</v>
      </c>
      <c r="K212" s="3" t="str">
        <f t="shared" ca="1" si="73"/>
        <v xml:space="preserve">Manipur </v>
      </c>
      <c r="L212" s="3">
        <f t="shared" ca="1" si="74"/>
        <v>66536</v>
      </c>
      <c r="M212" s="3">
        <f t="shared" ca="1" si="75"/>
        <v>399216</v>
      </c>
      <c r="N212" s="3">
        <f t="shared" ca="1" si="76"/>
        <v>161236.28599069675</v>
      </c>
      <c r="O212" s="3">
        <f t="shared" ca="1" si="77"/>
        <v>57520.24834662363</v>
      </c>
      <c r="P212" s="3">
        <f t="shared" ca="1" si="78"/>
        <v>29617.942908093111</v>
      </c>
      <c r="Q212" s="3">
        <f t="shared" ca="1" si="79"/>
        <v>56885.543845524386</v>
      </c>
      <c r="R212" s="3">
        <f t="shared" ca="1" si="80"/>
        <v>58384.67733347066</v>
      </c>
      <c r="S212" s="3">
        <f t="shared" ca="1" si="81"/>
        <v>515120.92568009428</v>
      </c>
      <c r="T212" s="3">
        <f t="shared" ca="1" si="82"/>
        <v>247739.77274431422</v>
      </c>
      <c r="U212" s="5">
        <f t="shared" ca="1" si="83"/>
        <v>267381.15293578006</v>
      </c>
    </row>
    <row r="213" spans="1:21" x14ac:dyDescent="0.35">
      <c r="A213">
        <f t="shared" ca="1" si="65"/>
        <v>1</v>
      </c>
      <c r="B213" s="4" t="str">
        <f t="shared" ca="1" si="63"/>
        <v>M</v>
      </c>
      <c r="C213" s="3">
        <f t="shared" ca="1" si="66"/>
        <v>2</v>
      </c>
      <c r="D213" s="3">
        <f t="shared" ca="1" si="64"/>
        <v>33</v>
      </c>
      <c r="E213" s="3" t="str">
        <f t="shared" ca="1" si="67"/>
        <v>Healthcare</v>
      </c>
      <c r="F213" s="3">
        <f t="shared" ca="1" si="68"/>
        <v>6</v>
      </c>
      <c r="G213" s="3" t="str">
        <f t="shared" ca="1" si="69"/>
        <v>Doctorate</v>
      </c>
      <c r="H213" s="3">
        <f t="shared" ca="1" si="70"/>
        <v>1</v>
      </c>
      <c r="I213" s="3">
        <f t="shared" ca="1" si="71"/>
        <v>0</v>
      </c>
      <c r="J213" s="3">
        <f t="shared" ca="1" si="72"/>
        <v>15</v>
      </c>
      <c r="K213" s="3" t="str">
        <f t="shared" ca="1" si="73"/>
        <v>Kerela</v>
      </c>
      <c r="L213" s="3">
        <f t="shared" ca="1" si="74"/>
        <v>62276</v>
      </c>
      <c r="M213" s="3">
        <f t="shared" ca="1" si="75"/>
        <v>435932</v>
      </c>
      <c r="N213" s="3">
        <f t="shared" ca="1" si="76"/>
        <v>200271.89696159458</v>
      </c>
      <c r="O213" s="3">
        <f t="shared" ca="1" si="77"/>
        <v>0</v>
      </c>
      <c r="P213" s="3">
        <f t="shared" ca="1" si="78"/>
        <v>0</v>
      </c>
      <c r="Q213" s="3">
        <f t="shared" ca="1" si="79"/>
        <v>10839.816449794804</v>
      </c>
      <c r="R213" s="3">
        <f t="shared" ca="1" si="80"/>
        <v>31641.674174703083</v>
      </c>
      <c r="S213" s="3">
        <f t="shared" ca="1" si="81"/>
        <v>467573.67417470308</v>
      </c>
      <c r="T213" s="3">
        <f t="shared" ca="1" si="82"/>
        <v>211111.71341138938</v>
      </c>
      <c r="U213" s="5">
        <f t="shared" ca="1" si="83"/>
        <v>256461.96076331369</v>
      </c>
    </row>
    <row r="214" spans="1:21" x14ac:dyDescent="0.35">
      <c r="A214">
        <f t="shared" ca="1" si="65"/>
        <v>1</v>
      </c>
      <c r="B214" s="4" t="str">
        <f t="shared" ca="1" si="63"/>
        <v>M</v>
      </c>
      <c r="C214" s="3">
        <f t="shared" ca="1" si="66"/>
        <v>2</v>
      </c>
      <c r="D214" s="3">
        <f t="shared" ca="1" si="64"/>
        <v>26</v>
      </c>
      <c r="E214" s="3" t="str">
        <f t="shared" ca="1" si="67"/>
        <v>Healthcare</v>
      </c>
      <c r="F214" s="3">
        <f t="shared" ca="1" si="68"/>
        <v>3</v>
      </c>
      <c r="G214" s="3" t="str">
        <f t="shared" ca="1" si="69"/>
        <v>UG</v>
      </c>
      <c r="H214" s="3">
        <f t="shared" ca="1" si="70"/>
        <v>2</v>
      </c>
      <c r="I214" s="3">
        <f t="shared" ca="1" si="71"/>
        <v>3</v>
      </c>
      <c r="J214" s="3">
        <f t="shared" ca="1" si="72"/>
        <v>9</v>
      </c>
      <c r="K214" s="3" t="str">
        <f t="shared" ca="1" si="73"/>
        <v>Chhattisgarh</v>
      </c>
      <c r="L214" s="3">
        <f t="shared" ca="1" si="74"/>
        <v>96165</v>
      </c>
      <c r="M214" s="3">
        <f t="shared" ca="1" si="75"/>
        <v>480825</v>
      </c>
      <c r="N214" s="3">
        <f t="shared" ca="1" si="76"/>
        <v>256296.01711927025</v>
      </c>
      <c r="O214" s="3">
        <f t="shared" ca="1" si="77"/>
        <v>15813.93854247228</v>
      </c>
      <c r="P214" s="3">
        <f t="shared" ca="1" si="78"/>
        <v>4861.6385866797136</v>
      </c>
      <c r="Q214" s="3">
        <f t="shared" ca="1" si="79"/>
        <v>14935.539237050314</v>
      </c>
      <c r="R214" s="3">
        <f t="shared" ca="1" si="80"/>
        <v>21884.484667364952</v>
      </c>
      <c r="S214" s="3">
        <f t="shared" ca="1" si="81"/>
        <v>518523.42320983723</v>
      </c>
      <c r="T214" s="3">
        <f t="shared" ca="1" si="82"/>
        <v>276093.19494300027</v>
      </c>
      <c r="U214" s="5">
        <f t="shared" ca="1" si="83"/>
        <v>242430.22826683696</v>
      </c>
    </row>
    <row r="215" spans="1:21" x14ac:dyDescent="0.35">
      <c r="A215">
        <f t="shared" ca="1" si="65"/>
        <v>1</v>
      </c>
      <c r="B215" s="4" t="str">
        <f t="shared" ca="1" si="63"/>
        <v>M</v>
      </c>
      <c r="C215" s="3">
        <f t="shared" ca="1" si="66"/>
        <v>3</v>
      </c>
      <c r="D215" s="3">
        <f t="shared" ca="1" si="64"/>
        <v>38</v>
      </c>
      <c r="E215" s="3" t="str">
        <f t="shared" ca="1" si="67"/>
        <v>IT</v>
      </c>
      <c r="F215" s="3">
        <f t="shared" ca="1" si="68"/>
        <v>6</v>
      </c>
      <c r="G215" s="3" t="str">
        <f t="shared" ca="1" si="69"/>
        <v>Doctorate</v>
      </c>
      <c r="H215" s="3">
        <f t="shared" ca="1" si="70"/>
        <v>1</v>
      </c>
      <c r="I215" s="3">
        <f t="shared" ca="1" si="71"/>
        <v>2</v>
      </c>
      <c r="J215" s="3">
        <f t="shared" ca="1" si="72"/>
        <v>26</v>
      </c>
      <c r="K215" s="3" t="str">
        <f t="shared" ca="1" si="73"/>
        <v>Tripura</v>
      </c>
      <c r="L215" s="3">
        <f t="shared" ca="1" si="74"/>
        <v>72342</v>
      </c>
      <c r="M215" s="3">
        <f t="shared" ca="1" si="75"/>
        <v>361710</v>
      </c>
      <c r="N215" s="3">
        <f t="shared" ca="1" si="76"/>
        <v>326081.47420925595</v>
      </c>
      <c r="O215" s="3">
        <f t="shared" ca="1" si="77"/>
        <v>75956.33250690873</v>
      </c>
      <c r="P215" s="3">
        <f t="shared" ca="1" si="78"/>
        <v>58235.512751819755</v>
      </c>
      <c r="Q215" s="3">
        <f t="shared" ca="1" si="79"/>
        <v>55801.011295815966</v>
      </c>
      <c r="R215" s="3">
        <f t="shared" ca="1" si="80"/>
        <v>40026.367839198174</v>
      </c>
      <c r="S215" s="3">
        <f t="shared" ca="1" si="81"/>
        <v>477692.7003461069</v>
      </c>
      <c r="T215" s="3">
        <f t="shared" ca="1" si="82"/>
        <v>440117.99825689167</v>
      </c>
      <c r="U215" s="5">
        <f t="shared" ca="1" si="83"/>
        <v>37574.702089215221</v>
      </c>
    </row>
    <row r="216" spans="1:21" x14ac:dyDescent="0.35">
      <c r="A216">
        <f t="shared" ca="1" si="65"/>
        <v>2</v>
      </c>
      <c r="B216" s="4" t="str">
        <f t="shared" ca="1" si="63"/>
        <v>F</v>
      </c>
      <c r="C216" s="3">
        <f t="shared" ca="1" si="66"/>
        <v>7</v>
      </c>
      <c r="D216" s="3">
        <f t="shared" ca="1" si="64"/>
        <v>23</v>
      </c>
      <c r="E216" s="3" t="str">
        <f t="shared" ca="1" si="67"/>
        <v>Other</v>
      </c>
      <c r="F216" s="3">
        <f t="shared" ca="1" si="68"/>
        <v>6</v>
      </c>
      <c r="G216" s="3" t="str">
        <f t="shared" ca="1" si="69"/>
        <v>Doctorate</v>
      </c>
      <c r="H216" s="3">
        <f t="shared" ca="1" si="70"/>
        <v>0</v>
      </c>
      <c r="I216" s="3">
        <f t="shared" ca="1" si="71"/>
        <v>3</v>
      </c>
      <c r="J216" s="3">
        <f t="shared" ca="1" si="72"/>
        <v>5</v>
      </c>
      <c r="K216" s="3" t="str">
        <f t="shared" ca="1" si="73"/>
        <v>Andhra Pradesh</v>
      </c>
      <c r="L216" s="3">
        <f t="shared" ca="1" si="74"/>
        <v>98025</v>
      </c>
      <c r="M216" s="3">
        <f t="shared" ca="1" si="75"/>
        <v>490125</v>
      </c>
      <c r="N216" s="3">
        <f t="shared" ca="1" si="76"/>
        <v>404583.25812736637</v>
      </c>
      <c r="O216" s="3">
        <f t="shared" ca="1" si="77"/>
        <v>180756.61658022483</v>
      </c>
      <c r="P216" s="3">
        <f t="shared" ca="1" si="78"/>
        <v>157589.89253271086</v>
      </c>
      <c r="Q216" s="3">
        <f t="shared" ca="1" si="79"/>
        <v>44931.711023789278</v>
      </c>
      <c r="R216" s="3">
        <f t="shared" ca="1" si="80"/>
        <v>6551.1625243705294</v>
      </c>
      <c r="S216" s="3">
        <f t="shared" ca="1" si="81"/>
        <v>677432.77910459531</v>
      </c>
      <c r="T216" s="3">
        <f t="shared" ca="1" si="82"/>
        <v>607104.86168386647</v>
      </c>
      <c r="U216" s="5">
        <f t="shared" ca="1" si="83"/>
        <v>70327.917420728831</v>
      </c>
    </row>
    <row r="217" spans="1:21" x14ac:dyDescent="0.35">
      <c r="A217">
        <f t="shared" ca="1" si="65"/>
        <v>1</v>
      </c>
      <c r="B217" s="4" t="str">
        <f t="shared" ca="1" si="63"/>
        <v>M</v>
      </c>
      <c r="C217" s="3">
        <f t="shared" ca="1" si="66"/>
        <v>4</v>
      </c>
      <c r="D217" s="3">
        <f t="shared" ca="1" si="64"/>
        <v>45</v>
      </c>
      <c r="E217" s="3" t="str">
        <f t="shared" ca="1" si="67"/>
        <v>Accounting</v>
      </c>
      <c r="F217" s="3">
        <f t="shared" ca="1" si="68"/>
        <v>6</v>
      </c>
      <c r="G217" s="3" t="str">
        <f t="shared" ca="1" si="69"/>
        <v>Doctorate</v>
      </c>
      <c r="H217" s="3">
        <f t="shared" ca="1" si="70"/>
        <v>4</v>
      </c>
      <c r="I217" s="3">
        <f t="shared" ca="1" si="71"/>
        <v>1</v>
      </c>
      <c r="J217" s="3">
        <f t="shared" ca="1" si="72"/>
        <v>11</v>
      </c>
      <c r="K217" s="3" t="str">
        <f t="shared" ca="1" si="73"/>
        <v>Goa</v>
      </c>
      <c r="L217" s="3">
        <f t="shared" ca="1" si="74"/>
        <v>41609</v>
      </c>
      <c r="M217" s="3">
        <f t="shared" ca="1" si="75"/>
        <v>332872</v>
      </c>
      <c r="N217" s="3">
        <f t="shared" ca="1" si="76"/>
        <v>156429.51396568364</v>
      </c>
      <c r="O217" s="3">
        <f t="shared" ca="1" si="77"/>
        <v>8751.1711160824489</v>
      </c>
      <c r="P217" s="3">
        <f t="shared" ca="1" si="78"/>
        <v>8574.1427900905619</v>
      </c>
      <c r="Q217" s="3">
        <f t="shared" ca="1" si="79"/>
        <v>517.47267952781669</v>
      </c>
      <c r="R217" s="3">
        <f t="shared" ca="1" si="80"/>
        <v>14952.32910054945</v>
      </c>
      <c r="S217" s="3">
        <f t="shared" ca="1" si="81"/>
        <v>356575.50021663192</v>
      </c>
      <c r="T217" s="3">
        <f t="shared" ca="1" si="82"/>
        <v>165521.12943530202</v>
      </c>
      <c r="U217" s="5">
        <f t="shared" ca="1" si="83"/>
        <v>191054.3707813299</v>
      </c>
    </row>
    <row r="218" spans="1:21" x14ac:dyDescent="0.35">
      <c r="A218">
        <f t="shared" ca="1" si="65"/>
        <v>1</v>
      </c>
      <c r="B218" s="4" t="str">
        <f t="shared" ca="1" si="63"/>
        <v>M</v>
      </c>
      <c r="C218" s="3">
        <f t="shared" ca="1" si="66"/>
        <v>7</v>
      </c>
      <c r="D218" s="3">
        <f t="shared" ca="1" si="64"/>
        <v>43</v>
      </c>
      <c r="E218" s="3" t="str">
        <f t="shared" ca="1" si="67"/>
        <v>Other</v>
      </c>
      <c r="F218" s="3">
        <f t="shared" ca="1" si="68"/>
        <v>4</v>
      </c>
      <c r="G218" s="3" t="str">
        <f t="shared" ca="1" si="69"/>
        <v>PG</v>
      </c>
      <c r="H218" s="3">
        <f t="shared" ca="1" si="70"/>
        <v>4</v>
      </c>
      <c r="I218" s="3">
        <f t="shared" ca="1" si="71"/>
        <v>1</v>
      </c>
      <c r="J218" s="3">
        <f t="shared" ca="1" si="72"/>
        <v>10</v>
      </c>
      <c r="K218" s="3" t="str">
        <f t="shared" ca="1" si="73"/>
        <v>Gujarat</v>
      </c>
      <c r="L218" s="3">
        <f t="shared" ca="1" si="74"/>
        <v>49577</v>
      </c>
      <c r="M218" s="3">
        <f t="shared" ca="1" si="75"/>
        <v>297462</v>
      </c>
      <c r="N218" s="3">
        <f t="shared" ca="1" si="76"/>
        <v>194256.19085732955</v>
      </c>
      <c r="O218" s="3">
        <f t="shared" ca="1" si="77"/>
        <v>2225.1400011875762</v>
      </c>
      <c r="P218" s="3">
        <f t="shared" ca="1" si="78"/>
        <v>1523.936538683545</v>
      </c>
      <c r="Q218" s="3">
        <f t="shared" ca="1" si="79"/>
        <v>19500.264729056929</v>
      </c>
      <c r="R218" s="3">
        <f t="shared" ca="1" si="80"/>
        <v>5158.6383074615014</v>
      </c>
      <c r="S218" s="3">
        <f t="shared" ca="1" si="81"/>
        <v>304845.77830864908</v>
      </c>
      <c r="T218" s="3">
        <f t="shared" ca="1" si="82"/>
        <v>215280.39212507004</v>
      </c>
      <c r="U218" s="5">
        <f t="shared" ca="1" si="83"/>
        <v>89565.386183579045</v>
      </c>
    </row>
    <row r="219" spans="1:21" x14ac:dyDescent="0.35">
      <c r="A219">
        <f t="shared" ca="1" si="65"/>
        <v>1</v>
      </c>
      <c r="B219" s="4" t="str">
        <f t="shared" ca="1" si="63"/>
        <v>M</v>
      </c>
      <c r="C219" s="3">
        <f t="shared" ca="1" si="66"/>
        <v>2</v>
      </c>
      <c r="D219" s="3">
        <f t="shared" ca="1" si="64"/>
        <v>34</v>
      </c>
      <c r="E219" s="3" t="str">
        <f t="shared" ca="1" si="67"/>
        <v>Healthcare</v>
      </c>
      <c r="F219" s="3">
        <f t="shared" ca="1" si="68"/>
        <v>4</v>
      </c>
      <c r="G219" s="3" t="str">
        <f t="shared" ca="1" si="69"/>
        <v>PG</v>
      </c>
      <c r="H219" s="3">
        <f t="shared" ca="1" si="70"/>
        <v>2</v>
      </c>
      <c r="I219" s="3">
        <f t="shared" ca="1" si="71"/>
        <v>3</v>
      </c>
      <c r="J219" s="3">
        <f t="shared" ca="1" si="72"/>
        <v>2</v>
      </c>
      <c r="K219" s="3" t="str">
        <f t="shared" ca="1" si="73"/>
        <v>Uttar Pradesh</v>
      </c>
      <c r="L219" s="3">
        <f t="shared" ca="1" si="74"/>
        <v>91837</v>
      </c>
      <c r="M219" s="3">
        <f t="shared" ca="1" si="75"/>
        <v>734696</v>
      </c>
      <c r="N219" s="3">
        <f t="shared" ca="1" si="76"/>
        <v>620634.25487180694</v>
      </c>
      <c r="O219" s="3">
        <f t="shared" ca="1" si="77"/>
        <v>112563.23732237713</v>
      </c>
      <c r="P219" s="3">
        <f t="shared" ca="1" si="78"/>
        <v>28984.038233980962</v>
      </c>
      <c r="Q219" s="3">
        <f t="shared" ca="1" si="79"/>
        <v>58918.944292828171</v>
      </c>
      <c r="R219" s="3">
        <f t="shared" ca="1" si="80"/>
        <v>34446.383721032791</v>
      </c>
      <c r="S219" s="3">
        <f t="shared" ca="1" si="81"/>
        <v>881705.62104340992</v>
      </c>
      <c r="T219" s="3">
        <f t="shared" ca="1" si="82"/>
        <v>708537.23739861615</v>
      </c>
      <c r="U219" s="5">
        <f t="shared" ca="1" si="83"/>
        <v>173168.38364479376</v>
      </c>
    </row>
    <row r="220" spans="1:21" x14ac:dyDescent="0.35">
      <c r="A220">
        <f t="shared" ca="1" si="65"/>
        <v>2</v>
      </c>
      <c r="B220" s="4" t="str">
        <f t="shared" ca="1" si="63"/>
        <v>F</v>
      </c>
      <c r="C220" s="3">
        <f t="shared" ca="1" si="66"/>
        <v>2</v>
      </c>
      <c r="D220" s="3">
        <f t="shared" ca="1" si="64"/>
        <v>36</v>
      </c>
      <c r="E220" s="3" t="str">
        <f t="shared" ca="1" si="67"/>
        <v>Healthcare</v>
      </c>
      <c r="F220" s="3">
        <f t="shared" ca="1" si="68"/>
        <v>1</v>
      </c>
      <c r="G220" s="3" t="str">
        <f t="shared" ca="1" si="69"/>
        <v>Secondary</v>
      </c>
      <c r="H220" s="3">
        <f t="shared" ca="1" si="70"/>
        <v>2</v>
      </c>
      <c r="I220" s="3">
        <f t="shared" ca="1" si="71"/>
        <v>3</v>
      </c>
      <c r="J220" s="3">
        <f t="shared" ca="1" si="72"/>
        <v>17</v>
      </c>
      <c r="K220" s="3" t="str">
        <f t="shared" ca="1" si="73"/>
        <v xml:space="preserve">Manipur </v>
      </c>
      <c r="L220" s="3">
        <f t="shared" ca="1" si="74"/>
        <v>87472</v>
      </c>
      <c r="M220" s="3">
        <f t="shared" ca="1" si="75"/>
        <v>437360</v>
      </c>
      <c r="N220" s="3">
        <f t="shared" ca="1" si="76"/>
        <v>372736.81203072221</v>
      </c>
      <c r="O220" s="3">
        <f t="shared" ca="1" si="77"/>
        <v>174606.88159000891</v>
      </c>
      <c r="P220" s="3">
        <f t="shared" ca="1" si="78"/>
        <v>65873.92917153801</v>
      </c>
      <c r="Q220" s="3">
        <f t="shared" ca="1" si="79"/>
        <v>80078.294665027686</v>
      </c>
      <c r="R220" s="3">
        <f t="shared" ca="1" si="80"/>
        <v>2691.0020917798893</v>
      </c>
      <c r="S220" s="3">
        <f t="shared" ca="1" si="81"/>
        <v>614657.88368178881</v>
      </c>
      <c r="T220" s="3">
        <f t="shared" ca="1" si="82"/>
        <v>518689.03586728795</v>
      </c>
      <c r="U220" s="5">
        <f t="shared" ca="1" si="83"/>
        <v>95968.847814500856</v>
      </c>
    </row>
    <row r="221" spans="1:21" x14ac:dyDescent="0.35">
      <c r="A221">
        <f t="shared" ca="1" si="65"/>
        <v>1</v>
      </c>
      <c r="B221" s="4" t="str">
        <f t="shared" ca="1" si="63"/>
        <v>M</v>
      </c>
      <c r="C221" s="3">
        <f t="shared" ca="1" si="66"/>
        <v>4</v>
      </c>
      <c r="D221" s="3">
        <f t="shared" ca="1" si="64"/>
        <v>20</v>
      </c>
      <c r="E221" s="3" t="str">
        <f t="shared" ca="1" si="67"/>
        <v>Accounting</v>
      </c>
      <c r="F221" s="3">
        <f t="shared" ca="1" si="68"/>
        <v>6</v>
      </c>
      <c r="G221" s="3" t="str">
        <f t="shared" ca="1" si="69"/>
        <v>Doctorate</v>
      </c>
      <c r="H221" s="3">
        <f t="shared" ca="1" si="70"/>
        <v>3</v>
      </c>
      <c r="I221" s="3">
        <f t="shared" ca="1" si="71"/>
        <v>3</v>
      </c>
      <c r="J221" s="3">
        <f t="shared" ca="1" si="72"/>
        <v>6</v>
      </c>
      <c r="K221" s="3" t="str">
        <f t="shared" ca="1" si="73"/>
        <v>Arunachal Pradesh</v>
      </c>
      <c r="L221" s="3">
        <f t="shared" ca="1" si="74"/>
        <v>53532</v>
      </c>
      <c r="M221" s="3">
        <f t="shared" ca="1" si="75"/>
        <v>481788</v>
      </c>
      <c r="N221" s="3">
        <f t="shared" ca="1" si="76"/>
        <v>447534.76083151606</v>
      </c>
      <c r="O221" s="3">
        <f t="shared" ca="1" si="77"/>
        <v>63923.29023779642</v>
      </c>
      <c r="P221" s="3">
        <f t="shared" ca="1" si="78"/>
        <v>59735.190342370654</v>
      </c>
      <c r="Q221" s="3">
        <f t="shared" ca="1" si="79"/>
        <v>28059.830750728168</v>
      </c>
      <c r="R221" s="3">
        <f t="shared" ca="1" si="80"/>
        <v>53218.072738137678</v>
      </c>
      <c r="S221" s="3">
        <f t="shared" ca="1" si="81"/>
        <v>598929.36297593405</v>
      </c>
      <c r="T221" s="3">
        <f t="shared" ca="1" si="82"/>
        <v>535329.78192461492</v>
      </c>
      <c r="U221" s="5">
        <f t="shared" ca="1" si="83"/>
        <v>63599.581051319139</v>
      </c>
    </row>
    <row r="222" spans="1:21" x14ac:dyDescent="0.35">
      <c r="A222">
        <f t="shared" ca="1" si="65"/>
        <v>2</v>
      </c>
      <c r="B222" s="4" t="str">
        <f t="shared" ca="1" si="63"/>
        <v>F</v>
      </c>
      <c r="C222" s="3">
        <f t="shared" ca="1" si="66"/>
        <v>4</v>
      </c>
      <c r="D222" s="3">
        <f t="shared" ca="1" si="64"/>
        <v>35</v>
      </c>
      <c r="E222" s="3" t="str">
        <f t="shared" ca="1" si="67"/>
        <v>Accounting</v>
      </c>
      <c r="F222" s="3">
        <f t="shared" ca="1" si="68"/>
        <v>4</v>
      </c>
      <c r="G222" s="3" t="str">
        <f t="shared" ca="1" si="69"/>
        <v>PG</v>
      </c>
      <c r="H222" s="3">
        <f t="shared" ca="1" si="70"/>
        <v>3</v>
      </c>
      <c r="I222" s="3">
        <f t="shared" ca="1" si="71"/>
        <v>0</v>
      </c>
      <c r="J222" s="3">
        <f t="shared" ca="1" si="72"/>
        <v>15</v>
      </c>
      <c r="K222" s="3" t="str">
        <f t="shared" ca="1" si="73"/>
        <v>Kerela</v>
      </c>
      <c r="L222" s="3">
        <f t="shared" ca="1" si="74"/>
        <v>85167</v>
      </c>
      <c r="M222" s="3">
        <f t="shared" ca="1" si="75"/>
        <v>511002</v>
      </c>
      <c r="N222" s="3">
        <f t="shared" ca="1" si="76"/>
        <v>216965.29400514968</v>
      </c>
      <c r="O222" s="3">
        <f t="shared" ca="1" si="77"/>
        <v>0</v>
      </c>
      <c r="P222" s="3">
        <f t="shared" ca="1" si="78"/>
        <v>0</v>
      </c>
      <c r="Q222" s="3">
        <f t="shared" ca="1" si="79"/>
        <v>29319.299330138212</v>
      </c>
      <c r="R222" s="3">
        <f t="shared" ca="1" si="80"/>
        <v>39091.17004173898</v>
      </c>
      <c r="S222" s="3">
        <f t="shared" ca="1" si="81"/>
        <v>550093.17004173901</v>
      </c>
      <c r="T222" s="3">
        <f t="shared" ca="1" si="82"/>
        <v>246284.59333528791</v>
      </c>
      <c r="U222" s="5">
        <f t="shared" ca="1" si="83"/>
        <v>303808.57670645113</v>
      </c>
    </row>
    <row r="223" spans="1:21" x14ac:dyDescent="0.35">
      <c r="A223">
        <f t="shared" ca="1" si="65"/>
        <v>1</v>
      </c>
      <c r="B223" s="4" t="str">
        <f t="shared" ca="1" si="63"/>
        <v>M</v>
      </c>
      <c r="C223" s="3">
        <f t="shared" ca="1" si="66"/>
        <v>5</v>
      </c>
      <c r="D223" s="3">
        <f t="shared" ca="1" si="64"/>
        <v>18</v>
      </c>
      <c r="E223" s="3" t="str">
        <f t="shared" ca="1" si="67"/>
        <v>Research</v>
      </c>
      <c r="F223" s="3">
        <f t="shared" ca="1" si="68"/>
        <v>2</v>
      </c>
      <c r="G223" s="3" t="str">
        <f t="shared" ca="1" si="69"/>
        <v>Senior Secondary</v>
      </c>
      <c r="H223" s="3">
        <f t="shared" ca="1" si="70"/>
        <v>3</v>
      </c>
      <c r="I223" s="3">
        <f t="shared" ca="1" si="71"/>
        <v>3</v>
      </c>
      <c r="J223" s="3">
        <f t="shared" ca="1" si="72"/>
        <v>26</v>
      </c>
      <c r="K223" s="3" t="str">
        <f t="shared" ca="1" si="73"/>
        <v>Tripura</v>
      </c>
      <c r="L223" s="3">
        <f t="shared" ca="1" si="74"/>
        <v>43958</v>
      </c>
      <c r="M223" s="3">
        <f t="shared" ca="1" si="75"/>
        <v>351664</v>
      </c>
      <c r="N223" s="3">
        <f t="shared" ca="1" si="76"/>
        <v>329455.5061267062</v>
      </c>
      <c r="O223" s="3">
        <f t="shared" ca="1" si="77"/>
        <v>64710.934901654589</v>
      </c>
      <c r="P223" s="3">
        <f t="shared" ca="1" si="78"/>
        <v>30475.578148860634</v>
      </c>
      <c r="Q223" s="3">
        <f t="shared" ca="1" si="79"/>
        <v>37433.595922208769</v>
      </c>
      <c r="R223" s="3">
        <f t="shared" ca="1" si="80"/>
        <v>3407.9476470145778</v>
      </c>
      <c r="S223" s="3">
        <f t="shared" ca="1" si="81"/>
        <v>419782.88254866918</v>
      </c>
      <c r="T223" s="3">
        <f t="shared" ca="1" si="82"/>
        <v>397364.6801977756</v>
      </c>
      <c r="U223" s="5">
        <f t="shared" ca="1" si="83"/>
        <v>22418.202350893582</v>
      </c>
    </row>
    <row r="224" spans="1:21" x14ac:dyDescent="0.35">
      <c r="A224">
        <f t="shared" ca="1" si="65"/>
        <v>1</v>
      </c>
      <c r="B224" s="4" t="str">
        <f t="shared" ca="1" si="63"/>
        <v>M</v>
      </c>
      <c r="C224" s="3">
        <f t="shared" ca="1" si="66"/>
        <v>5</v>
      </c>
      <c r="D224" s="3">
        <f t="shared" ca="1" si="64"/>
        <v>29</v>
      </c>
      <c r="E224" s="3" t="str">
        <f t="shared" ca="1" si="67"/>
        <v>Research</v>
      </c>
      <c r="F224" s="3">
        <f t="shared" ca="1" si="68"/>
        <v>5</v>
      </c>
      <c r="G224" s="3" t="str">
        <f t="shared" ca="1" si="69"/>
        <v>Diploma</v>
      </c>
      <c r="H224" s="3">
        <f t="shared" ca="1" si="70"/>
        <v>0</v>
      </c>
      <c r="I224" s="3">
        <f t="shared" ca="1" si="71"/>
        <v>0</v>
      </c>
      <c r="J224" s="3">
        <f t="shared" ca="1" si="72"/>
        <v>5</v>
      </c>
      <c r="K224" s="3" t="str">
        <f t="shared" ca="1" si="73"/>
        <v>Andhra Pradesh</v>
      </c>
      <c r="L224" s="3">
        <f t="shared" ca="1" si="74"/>
        <v>35245</v>
      </c>
      <c r="M224" s="3">
        <f t="shared" ca="1" si="75"/>
        <v>281960</v>
      </c>
      <c r="N224" s="3">
        <f t="shared" ca="1" si="76"/>
        <v>209131.14689890519</v>
      </c>
      <c r="O224" s="3">
        <f t="shared" ca="1" si="77"/>
        <v>0</v>
      </c>
      <c r="P224" s="3">
        <f t="shared" ca="1" si="78"/>
        <v>0</v>
      </c>
      <c r="Q224" s="3">
        <f t="shared" ca="1" si="79"/>
        <v>21066.249373491875</v>
      </c>
      <c r="R224" s="3">
        <f t="shared" ca="1" si="80"/>
        <v>5449.8028906488425</v>
      </c>
      <c r="S224" s="3">
        <f t="shared" ca="1" si="81"/>
        <v>287409.80289064883</v>
      </c>
      <c r="T224" s="3">
        <f t="shared" ca="1" si="82"/>
        <v>230197.39627239708</v>
      </c>
      <c r="U224" s="5">
        <f t="shared" ca="1" si="83"/>
        <v>57212.406618251756</v>
      </c>
    </row>
    <row r="225" spans="1:21" x14ac:dyDescent="0.35">
      <c r="A225">
        <f t="shared" ca="1" si="65"/>
        <v>2</v>
      </c>
      <c r="B225" s="4" t="str">
        <f t="shared" ca="1" si="63"/>
        <v>F</v>
      </c>
      <c r="C225" s="3">
        <f t="shared" ca="1" si="66"/>
        <v>3</v>
      </c>
      <c r="D225" s="3">
        <f t="shared" ca="1" si="64"/>
        <v>25</v>
      </c>
      <c r="E225" s="3" t="str">
        <f t="shared" ca="1" si="67"/>
        <v>IT</v>
      </c>
      <c r="F225" s="3">
        <f t="shared" ca="1" si="68"/>
        <v>1</v>
      </c>
      <c r="G225" s="3" t="str">
        <f t="shared" ca="1" si="69"/>
        <v>Secondary</v>
      </c>
      <c r="H225" s="3">
        <f t="shared" ca="1" si="70"/>
        <v>4</v>
      </c>
      <c r="I225" s="3">
        <f t="shared" ca="1" si="71"/>
        <v>0</v>
      </c>
      <c r="J225" s="3">
        <f t="shared" ca="1" si="72"/>
        <v>20</v>
      </c>
      <c r="K225" s="3" t="str">
        <f t="shared" ca="1" si="73"/>
        <v>Nagaland</v>
      </c>
      <c r="L225" s="3">
        <f t="shared" ca="1" si="74"/>
        <v>36174</v>
      </c>
      <c r="M225" s="3">
        <f t="shared" ca="1" si="75"/>
        <v>253218</v>
      </c>
      <c r="N225" s="3">
        <f t="shared" ca="1" si="76"/>
        <v>39565.117875573997</v>
      </c>
      <c r="O225" s="3">
        <f t="shared" ca="1" si="77"/>
        <v>0</v>
      </c>
      <c r="P225" s="3">
        <f t="shared" ca="1" si="78"/>
        <v>0</v>
      </c>
      <c r="Q225" s="3">
        <f t="shared" ca="1" si="79"/>
        <v>20822.547569029226</v>
      </c>
      <c r="R225" s="3">
        <f t="shared" ca="1" si="80"/>
        <v>17962.901145467902</v>
      </c>
      <c r="S225" s="3">
        <f t="shared" ca="1" si="81"/>
        <v>271180.90114546788</v>
      </c>
      <c r="T225" s="3">
        <f t="shared" ca="1" si="82"/>
        <v>60387.665444603219</v>
      </c>
      <c r="U225" s="5">
        <f t="shared" ca="1" si="83"/>
        <v>210793.23570086466</v>
      </c>
    </row>
    <row r="226" spans="1:21" x14ac:dyDescent="0.35">
      <c r="A226">
        <f t="shared" ca="1" si="65"/>
        <v>1</v>
      </c>
      <c r="B226" s="4" t="str">
        <f t="shared" ca="1" si="63"/>
        <v>M</v>
      </c>
      <c r="C226" s="3">
        <f t="shared" ca="1" si="66"/>
        <v>5</v>
      </c>
      <c r="D226" s="3">
        <f t="shared" ca="1" si="64"/>
        <v>32</v>
      </c>
      <c r="E226" s="3" t="str">
        <f t="shared" ca="1" si="67"/>
        <v>Research</v>
      </c>
      <c r="F226" s="3">
        <f t="shared" ca="1" si="68"/>
        <v>2</v>
      </c>
      <c r="G226" s="3" t="str">
        <f t="shared" ca="1" si="69"/>
        <v>Senior Secondary</v>
      </c>
      <c r="H226" s="3">
        <f t="shared" ca="1" si="70"/>
        <v>3</v>
      </c>
      <c r="I226" s="3">
        <f t="shared" ca="1" si="71"/>
        <v>1</v>
      </c>
      <c r="J226" s="3">
        <f t="shared" ca="1" si="72"/>
        <v>24</v>
      </c>
      <c r="K226" s="3" t="str">
        <f t="shared" ca="1" si="73"/>
        <v>Tamil Nadu</v>
      </c>
      <c r="L226" s="3">
        <f t="shared" ca="1" si="74"/>
        <v>93639</v>
      </c>
      <c r="M226" s="3">
        <f t="shared" ca="1" si="75"/>
        <v>842751</v>
      </c>
      <c r="N226" s="3">
        <f t="shared" ca="1" si="76"/>
        <v>346596.7287061052</v>
      </c>
      <c r="O226" s="3">
        <f t="shared" ca="1" si="77"/>
        <v>91185.668545610199</v>
      </c>
      <c r="P226" s="3">
        <f t="shared" ca="1" si="78"/>
        <v>61390.730392453042</v>
      </c>
      <c r="Q226" s="3">
        <f t="shared" ca="1" si="79"/>
        <v>53540.687898202472</v>
      </c>
      <c r="R226" s="3">
        <f t="shared" ca="1" si="80"/>
        <v>57048.763605786982</v>
      </c>
      <c r="S226" s="3">
        <f t="shared" ca="1" si="81"/>
        <v>990985.43215139711</v>
      </c>
      <c r="T226" s="3">
        <f t="shared" ca="1" si="82"/>
        <v>461528.14699676068</v>
      </c>
      <c r="U226" s="5">
        <f t="shared" ca="1" si="83"/>
        <v>529457.28515463648</v>
      </c>
    </row>
    <row r="227" spans="1:21" x14ac:dyDescent="0.35">
      <c r="A227">
        <f t="shared" ca="1" si="65"/>
        <v>2</v>
      </c>
      <c r="B227" s="4" t="str">
        <f t="shared" ca="1" si="63"/>
        <v>F</v>
      </c>
      <c r="C227" s="3">
        <f t="shared" ca="1" si="66"/>
        <v>3</v>
      </c>
      <c r="D227" s="3">
        <f t="shared" ca="1" si="64"/>
        <v>43</v>
      </c>
      <c r="E227" s="3" t="str">
        <f t="shared" ca="1" si="67"/>
        <v>IT</v>
      </c>
      <c r="F227" s="3">
        <f t="shared" ca="1" si="68"/>
        <v>4</v>
      </c>
      <c r="G227" s="3" t="str">
        <f t="shared" ca="1" si="69"/>
        <v>PG</v>
      </c>
      <c r="H227" s="3">
        <f t="shared" ca="1" si="70"/>
        <v>1</v>
      </c>
      <c r="I227" s="3">
        <f t="shared" ca="1" si="71"/>
        <v>1</v>
      </c>
      <c r="J227" s="3">
        <f t="shared" ca="1" si="72"/>
        <v>7</v>
      </c>
      <c r="K227" s="3" t="str">
        <f t="shared" ca="1" si="73"/>
        <v>Assam</v>
      </c>
      <c r="L227" s="3">
        <f t="shared" ca="1" si="74"/>
        <v>45509</v>
      </c>
      <c r="M227" s="3">
        <f t="shared" ca="1" si="75"/>
        <v>364072</v>
      </c>
      <c r="N227" s="3">
        <f t="shared" ca="1" si="76"/>
        <v>357453.47062304511</v>
      </c>
      <c r="O227" s="3">
        <f t="shared" ca="1" si="77"/>
        <v>5599.0508692266358</v>
      </c>
      <c r="P227" s="3">
        <f t="shared" ca="1" si="78"/>
        <v>4911.1070825261695</v>
      </c>
      <c r="Q227" s="3">
        <f t="shared" ca="1" si="79"/>
        <v>12825.729452055908</v>
      </c>
      <c r="R227" s="3">
        <f t="shared" ca="1" si="80"/>
        <v>38153.150871914862</v>
      </c>
      <c r="S227" s="3">
        <f t="shared" ca="1" si="81"/>
        <v>407824.2017411415</v>
      </c>
      <c r="T227" s="3">
        <f t="shared" ca="1" si="82"/>
        <v>375190.30715762719</v>
      </c>
      <c r="U227" s="5">
        <f t="shared" ca="1" si="83"/>
        <v>32633.894583514309</v>
      </c>
    </row>
    <row r="228" spans="1:21" x14ac:dyDescent="0.35">
      <c r="A228">
        <f t="shared" ca="1" si="65"/>
        <v>1</v>
      </c>
      <c r="B228" s="4" t="str">
        <f t="shared" ca="1" si="63"/>
        <v>M</v>
      </c>
      <c r="C228" s="3">
        <f t="shared" ca="1" si="66"/>
        <v>6</v>
      </c>
      <c r="D228" s="3">
        <f t="shared" ca="1" si="64"/>
        <v>26</v>
      </c>
      <c r="E228" s="3" t="str">
        <f t="shared" ca="1" si="67"/>
        <v>Art</v>
      </c>
      <c r="F228" s="3">
        <f t="shared" ca="1" si="68"/>
        <v>1</v>
      </c>
      <c r="G228" s="3" t="str">
        <f t="shared" ca="1" si="69"/>
        <v>Secondary</v>
      </c>
      <c r="H228" s="3">
        <f t="shared" ca="1" si="70"/>
        <v>2</v>
      </c>
      <c r="I228" s="3">
        <f t="shared" ca="1" si="71"/>
        <v>2</v>
      </c>
      <c r="J228" s="3">
        <f t="shared" ca="1" si="72"/>
        <v>20</v>
      </c>
      <c r="K228" s="3" t="str">
        <f t="shared" ca="1" si="73"/>
        <v>Nagaland</v>
      </c>
      <c r="L228" s="3">
        <f t="shared" ca="1" si="74"/>
        <v>56543</v>
      </c>
      <c r="M228" s="3">
        <f t="shared" ca="1" si="75"/>
        <v>452344</v>
      </c>
      <c r="N228" s="3">
        <f t="shared" ca="1" si="76"/>
        <v>242991.42248941117</v>
      </c>
      <c r="O228" s="3">
        <f t="shared" ca="1" si="77"/>
        <v>111030.94774740362</v>
      </c>
      <c r="P228" s="3">
        <f t="shared" ca="1" si="78"/>
        <v>49850.330276297886</v>
      </c>
      <c r="Q228" s="3">
        <f t="shared" ca="1" si="79"/>
        <v>4515.5367340077037</v>
      </c>
      <c r="R228" s="3">
        <f t="shared" ca="1" si="80"/>
        <v>28909.874410531032</v>
      </c>
      <c r="S228" s="3">
        <f t="shared" ca="1" si="81"/>
        <v>592284.82215793466</v>
      </c>
      <c r="T228" s="3">
        <f t="shared" ca="1" si="82"/>
        <v>297357.28949971678</v>
      </c>
      <c r="U228" s="5">
        <f t="shared" ca="1" si="83"/>
        <v>294927.53265821788</v>
      </c>
    </row>
    <row r="229" spans="1:21" x14ac:dyDescent="0.35">
      <c r="A229">
        <f t="shared" ca="1" si="65"/>
        <v>2</v>
      </c>
      <c r="B229" s="4" t="str">
        <f t="shared" ca="1" si="63"/>
        <v>F</v>
      </c>
      <c r="C229" s="3">
        <f t="shared" ca="1" si="66"/>
        <v>7</v>
      </c>
      <c r="D229" s="3">
        <f t="shared" ca="1" si="64"/>
        <v>42</v>
      </c>
      <c r="E229" s="3" t="str">
        <f t="shared" ca="1" si="67"/>
        <v>Other</v>
      </c>
      <c r="F229" s="3">
        <f t="shared" ca="1" si="68"/>
        <v>7</v>
      </c>
      <c r="G229" s="3" t="str">
        <f t="shared" ca="1" si="69"/>
        <v>Other</v>
      </c>
      <c r="H229" s="3">
        <f t="shared" ca="1" si="70"/>
        <v>0</v>
      </c>
      <c r="I229" s="3">
        <f t="shared" ca="1" si="71"/>
        <v>1</v>
      </c>
      <c r="J229" s="3">
        <f t="shared" ca="1" si="72"/>
        <v>15</v>
      </c>
      <c r="K229" s="3" t="str">
        <f t="shared" ca="1" si="73"/>
        <v>Kerela</v>
      </c>
      <c r="L229" s="3">
        <f t="shared" ca="1" si="74"/>
        <v>85066</v>
      </c>
      <c r="M229" s="3">
        <f t="shared" ca="1" si="75"/>
        <v>425330</v>
      </c>
      <c r="N229" s="3">
        <f t="shared" ca="1" si="76"/>
        <v>40980.982629984013</v>
      </c>
      <c r="O229" s="3">
        <f t="shared" ca="1" si="77"/>
        <v>26872.998752268348</v>
      </c>
      <c r="P229" s="3">
        <f t="shared" ca="1" si="78"/>
        <v>11943.526953937468</v>
      </c>
      <c r="Q229" s="3">
        <f t="shared" ca="1" si="79"/>
        <v>54259.808415433283</v>
      </c>
      <c r="R229" s="3">
        <f t="shared" ca="1" si="80"/>
        <v>19700.784243487084</v>
      </c>
      <c r="S229" s="3">
        <f t="shared" ca="1" si="81"/>
        <v>471903.78299575543</v>
      </c>
      <c r="T229" s="3">
        <f t="shared" ca="1" si="82"/>
        <v>107184.31799935477</v>
      </c>
      <c r="U229" s="5">
        <f t="shared" ca="1" si="83"/>
        <v>364719.46499640064</v>
      </c>
    </row>
    <row r="230" spans="1:21" x14ac:dyDescent="0.35">
      <c r="A230">
        <f t="shared" ca="1" si="65"/>
        <v>1</v>
      </c>
      <c r="B230" s="4" t="str">
        <f t="shared" ca="1" si="63"/>
        <v>M</v>
      </c>
      <c r="C230" s="3">
        <f t="shared" ca="1" si="66"/>
        <v>4</v>
      </c>
      <c r="D230" s="3">
        <f t="shared" ca="1" si="64"/>
        <v>20</v>
      </c>
      <c r="E230" s="3" t="str">
        <f t="shared" ca="1" si="67"/>
        <v>Accounting</v>
      </c>
      <c r="F230" s="3">
        <f t="shared" ca="1" si="68"/>
        <v>5</v>
      </c>
      <c r="G230" s="3" t="str">
        <f t="shared" ca="1" si="69"/>
        <v>Diploma</v>
      </c>
      <c r="H230" s="3">
        <f t="shared" ca="1" si="70"/>
        <v>0</v>
      </c>
      <c r="I230" s="3">
        <f t="shared" ca="1" si="71"/>
        <v>0</v>
      </c>
      <c r="J230" s="3">
        <f t="shared" ca="1" si="72"/>
        <v>23</v>
      </c>
      <c r="K230" s="3" t="str">
        <f t="shared" ca="1" si="73"/>
        <v>Sikkim</v>
      </c>
      <c r="L230" s="3">
        <f t="shared" ca="1" si="74"/>
        <v>66414</v>
      </c>
      <c r="M230" s="3">
        <f t="shared" ca="1" si="75"/>
        <v>597726</v>
      </c>
      <c r="N230" s="3">
        <f t="shared" ca="1" si="76"/>
        <v>121930.2776977883</v>
      </c>
      <c r="O230" s="3">
        <f t="shared" ca="1" si="77"/>
        <v>0</v>
      </c>
      <c r="P230" s="3">
        <f t="shared" ca="1" si="78"/>
        <v>0</v>
      </c>
      <c r="Q230" s="3">
        <f t="shared" ca="1" si="79"/>
        <v>41212.14687608755</v>
      </c>
      <c r="R230" s="3">
        <f t="shared" ca="1" si="80"/>
        <v>6582.7907276514716</v>
      </c>
      <c r="S230" s="3">
        <f t="shared" ca="1" si="81"/>
        <v>604308.79072765145</v>
      </c>
      <c r="T230" s="3">
        <f t="shared" ca="1" si="82"/>
        <v>163142.42457387585</v>
      </c>
      <c r="U230" s="5">
        <f t="shared" ca="1" si="83"/>
        <v>441166.3661537756</v>
      </c>
    </row>
    <row r="231" spans="1:21" x14ac:dyDescent="0.35">
      <c r="A231">
        <f t="shared" ca="1" si="65"/>
        <v>2</v>
      </c>
      <c r="B231" s="4" t="str">
        <f t="shared" ca="1" si="63"/>
        <v>F</v>
      </c>
      <c r="C231" s="3">
        <f t="shared" ca="1" si="66"/>
        <v>3</v>
      </c>
      <c r="D231" s="3">
        <f t="shared" ca="1" si="64"/>
        <v>19</v>
      </c>
      <c r="E231" s="3" t="str">
        <f t="shared" ca="1" si="67"/>
        <v>IT</v>
      </c>
      <c r="F231" s="3">
        <f t="shared" ca="1" si="68"/>
        <v>6</v>
      </c>
      <c r="G231" s="3" t="str">
        <f t="shared" ca="1" si="69"/>
        <v>Doctorate</v>
      </c>
      <c r="H231" s="3">
        <f t="shared" ca="1" si="70"/>
        <v>1</v>
      </c>
      <c r="I231" s="3">
        <f t="shared" ca="1" si="71"/>
        <v>1</v>
      </c>
      <c r="J231" s="3">
        <f t="shared" ca="1" si="72"/>
        <v>20</v>
      </c>
      <c r="K231" s="3" t="str">
        <f t="shared" ca="1" si="73"/>
        <v>Nagaland</v>
      </c>
      <c r="L231" s="3">
        <f t="shared" ca="1" si="74"/>
        <v>71830</v>
      </c>
      <c r="M231" s="3">
        <f t="shared" ca="1" si="75"/>
        <v>430980</v>
      </c>
      <c r="N231" s="3">
        <f t="shared" ca="1" si="76"/>
        <v>93836.280921021811</v>
      </c>
      <c r="O231" s="3">
        <f t="shared" ca="1" si="77"/>
        <v>13312.741121070669</v>
      </c>
      <c r="P231" s="3">
        <f t="shared" ca="1" si="78"/>
        <v>4891.1353372172971</v>
      </c>
      <c r="Q231" s="3">
        <f t="shared" ca="1" si="79"/>
        <v>11012.275508158265</v>
      </c>
      <c r="R231" s="3">
        <f t="shared" ca="1" si="80"/>
        <v>53192.167868112032</v>
      </c>
      <c r="S231" s="3">
        <f t="shared" ca="1" si="81"/>
        <v>497484.90898918273</v>
      </c>
      <c r="T231" s="3">
        <f t="shared" ca="1" si="82"/>
        <v>109739.69176639739</v>
      </c>
      <c r="U231" s="5">
        <f t="shared" ca="1" si="83"/>
        <v>387745.21722278534</v>
      </c>
    </row>
    <row r="232" spans="1:21" x14ac:dyDescent="0.35">
      <c r="A232">
        <f t="shared" ca="1" si="65"/>
        <v>2</v>
      </c>
      <c r="B232" s="4" t="str">
        <f t="shared" ca="1" si="63"/>
        <v>F</v>
      </c>
      <c r="C232" s="3">
        <f t="shared" ca="1" si="66"/>
        <v>4</v>
      </c>
      <c r="D232" s="3">
        <f t="shared" ca="1" si="64"/>
        <v>27</v>
      </c>
      <c r="E232" s="3" t="str">
        <f t="shared" ca="1" si="67"/>
        <v>Accounting</v>
      </c>
      <c r="F232" s="3">
        <f t="shared" ca="1" si="68"/>
        <v>6</v>
      </c>
      <c r="G232" s="3" t="str">
        <f t="shared" ca="1" si="69"/>
        <v>Doctorate</v>
      </c>
      <c r="H232" s="3">
        <f t="shared" ca="1" si="70"/>
        <v>1</v>
      </c>
      <c r="I232" s="3">
        <f t="shared" ca="1" si="71"/>
        <v>2</v>
      </c>
      <c r="J232" s="3">
        <f t="shared" ca="1" si="72"/>
        <v>27</v>
      </c>
      <c r="K232" s="3" t="str">
        <f t="shared" ca="1" si="73"/>
        <v>Uttrakhand</v>
      </c>
      <c r="L232" s="3">
        <f t="shared" ca="1" si="74"/>
        <v>87718</v>
      </c>
      <c r="M232" s="3">
        <f t="shared" ca="1" si="75"/>
        <v>614026</v>
      </c>
      <c r="N232" s="3">
        <f t="shared" ca="1" si="76"/>
        <v>192622.84830163143</v>
      </c>
      <c r="O232" s="3">
        <f t="shared" ca="1" si="77"/>
        <v>162855.21193927724</v>
      </c>
      <c r="P232" s="3">
        <f t="shared" ca="1" si="78"/>
        <v>28945.138437302041</v>
      </c>
      <c r="Q232" s="3">
        <f t="shared" ca="1" si="79"/>
        <v>15327.11575568562</v>
      </c>
      <c r="R232" s="3">
        <f t="shared" ca="1" si="80"/>
        <v>7459.5613479974672</v>
      </c>
      <c r="S232" s="3">
        <f t="shared" ca="1" si="81"/>
        <v>784340.77328727476</v>
      </c>
      <c r="T232" s="3">
        <f t="shared" ca="1" si="82"/>
        <v>236895.10249461909</v>
      </c>
      <c r="U232" s="5">
        <f t="shared" ca="1" si="83"/>
        <v>547445.67079265567</v>
      </c>
    </row>
    <row r="233" spans="1:21" x14ac:dyDescent="0.35">
      <c r="A233">
        <f t="shared" ca="1" si="65"/>
        <v>1</v>
      </c>
      <c r="B233" s="4" t="str">
        <f t="shared" ca="1" si="63"/>
        <v>M</v>
      </c>
      <c r="C233" s="3">
        <f t="shared" ca="1" si="66"/>
        <v>6</v>
      </c>
      <c r="D233" s="3">
        <f t="shared" ca="1" si="64"/>
        <v>18</v>
      </c>
      <c r="E233" s="3" t="str">
        <f t="shared" ca="1" si="67"/>
        <v>Art</v>
      </c>
      <c r="F233" s="3">
        <f t="shared" ca="1" si="68"/>
        <v>2</v>
      </c>
      <c r="G233" s="3" t="str">
        <f t="shared" ca="1" si="69"/>
        <v>Senior Secondary</v>
      </c>
      <c r="H233" s="3">
        <f t="shared" ca="1" si="70"/>
        <v>3</v>
      </c>
      <c r="I233" s="3">
        <f t="shared" ca="1" si="71"/>
        <v>0</v>
      </c>
      <c r="J233" s="3">
        <f t="shared" ca="1" si="72"/>
        <v>5</v>
      </c>
      <c r="K233" s="3" t="str">
        <f t="shared" ca="1" si="73"/>
        <v>Andhra Pradesh</v>
      </c>
      <c r="L233" s="3">
        <f t="shared" ca="1" si="74"/>
        <v>85778</v>
      </c>
      <c r="M233" s="3">
        <f t="shared" ca="1" si="75"/>
        <v>686224</v>
      </c>
      <c r="N233" s="3">
        <f t="shared" ca="1" si="76"/>
        <v>636995.22382356925</v>
      </c>
      <c r="O233" s="3">
        <f t="shared" ca="1" si="77"/>
        <v>0</v>
      </c>
      <c r="P233" s="3">
        <f t="shared" ca="1" si="78"/>
        <v>0</v>
      </c>
      <c r="Q233" s="3">
        <f t="shared" ca="1" si="79"/>
        <v>83149.622699595988</v>
      </c>
      <c r="R233" s="3">
        <f t="shared" ca="1" si="80"/>
        <v>30669.341031479857</v>
      </c>
      <c r="S233" s="3">
        <f t="shared" ca="1" si="81"/>
        <v>716893.34103147988</v>
      </c>
      <c r="T233" s="3">
        <f t="shared" ca="1" si="82"/>
        <v>720144.84652316524</v>
      </c>
      <c r="U233" s="5">
        <f t="shared" ca="1" si="83"/>
        <v>-3251.5054916853551</v>
      </c>
    </row>
    <row r="234" spans="1:21" x14ac:dyDescent="0.35">
      <c r="A234">
        <f t="shared" ca="1" si="65"/>
        <v>1</v>
      </c>
      <c r="B234" s="4" t="str">
        <f t="shared" ca="1" si="63"/>
        <v>M</v>
      </c>
      <c r="C234" s="3">
        <f t="shared" ca="1" si="66"/>
        <v>2</v>
      </c>
      <c r="D234" s="3">
        <f t="shared" ca="1" si="64"/>
        <v>34</v>
      </c>
      <c r="E234" s="3" t="str">
        <f t="shared" ca="1" si="67"/>
        <v>Healthcare</v>
      </c>
      <c r="F234" s="3">
        <f t="shared" ca="1" si="68"/>
        <v>4</v>
      </c>
      <c r="G234" s="3" t="str">
        <f t="shared" ca="1" si="69"/>
        <v>PG</v>
      </c>
      <c r="H234" s="3">
        <f t="shared" ca="1" si="70"/>
        <v>1</v>
      </c>
      <c r="I234" s="3">
        <f t="shared" ca="1" si="71"/>
        <v>3</v>
      </c>
      <c r="J234" s="3">
        <f t="shared" ca="1" si="72"/>
        <v>21</v>
      </c>
      <c r="K234" s="3" t="str">
        <f t="shared" ca="1" si="73"/>
        <v>Odisha</v>
      </c>
      <c r="L234" s="3">
        <f t="shared" ca="1" si="74"/>
        <v>93282</v>
      </c>
      <c r="M234" s="3">
        <f t="shared" ca="1" si="75"/>
        <v>466410</v>
      </c>
      <c r="N234" s="3">
        <f t="shared" ca="1" si="76"/>
        <v>167111.89381517805</v>
      </c>
      <c r="O234" s="3">
        <f t="shared" ca="1" si="77"/>
        <v>62797.783823521466</v>
      </c>
      <c r="P234" s="3">
        <f t="shared" ca="1" si="78"/>
        <v>15715.734800290242</v>
      </c>
      <c r="Q234" s="3">
        <f t="shared" ca="1" si="79"/>
        <v>59119.685350415886</v>
      </c>
      <c r="R234" s="3">
        <f t="shared" ca="1" si="80"/>
        <v>49380.151595851275</v>
      </c>
      <c r="S234" s="3">
        <f t="shared" ca="1" si="81"/>
        <v>578587.93541937275</v>
      </c>
      <c r="T234" s="3">
        <f t="shared" ca="1" si="82"/>
        <v>241947.31396588415</v>
      </c>
      <c r="U234" s="5">
        <f t="shared" ca="1" si="83"/>
        <v>336640.62145348859</v>
      </c>
    </row>
    <row r="235" spans="1:21" x14ac:dyDescent="0.35">
      <c r="A235">
        <f t="shared" ca="1" si="65"/>
        <v>2</v>
      </c>
      <c r="B235" s="4" t="str">
        <f t="shared" ca="1" si="63"/>
        <v>F</v>
      </c>
      <c r="C235" s="3">
        <f t="shared" ca="1" si="66"/>
        <v>5</v>
      </c>
      <c r="D235" s="3">
        <f t="shared" ca="1" si="64"/>
        <v>32</v>
      </c>
      <c r="E235" s="3" t="str">
        <f t="shared" ca="1" si="67"/>
        <v>Research</v>
      </c>
      <c r="F235" s="3">
        <f t="shared" ca="1" si="68"/>
        <v>4</v>
      </c>
      <c r="G235" s="3" t="str">
        <f t="shared" ca="1" si="69"/>
        <v>PG</v>
      </c>
      <c r="H235" s="3">
        <f t="shared" ca="1" si="70"/>
        <v>4</v>
      </c>
      <c r="I235" s="3">
        <f t="shared" ca="1" si="71"/>
        <v>2</v>
      </c>
      <c r="J235" s="3">
        <f t="shared" ca="1" si="72"/>
        <v>18</v>
      </c>
      <c r="K235" s="3" t="str">
        <f t="shared" ca="1" si="73"/>
        <v>Meghalya</v>
      </c>
      <c r="L235" s="3">
        <f t="shared" ca="1" si="74"/>
        <v>55604</v>
      </c>
      <c r="M235" s="3">
        <f t="shared" ca="1" si="75"/>
        <v>389228</v>
      </c>
      <c r="N235" s="3">
        <f t="shared" ca="1" si="76"/>
        <v>70458.383267277037</v>
      </c>
      <c r="O235" s="3">
        <f t="shared" ca="1" si="77"/>
        <v>23073.529437761146</v>
      </c>
      <c r="P235" s="3">
        <f t="shared" ca="1" si="78"/>
        <v>18999.503256803135</v>
      </c>
      <c r="Q235" s="3">
        <f t="shared" ca="1" si="79"/>
        <v>37833.471537929909</v>
      </c>
      <c r="R235" s="3">
        <f t="shared" ca="1" si="80"/>
        <v>53115.418766026567</v>
      </c>
      <c r="S235" s="3">
        <f t="shared" ca="1" si="81"/>
        <v>465416.94820378773</v>
      </c>
      <c r="T235" s="3">
        <f t="shared" ca="1" si="82"/>
        <v>127291.35806201008</v>
      </c>
      <c r="U235" s="5">
        <f t="shared" ca="1" si="83"/>
        <v>338125.59014177765</v>
      </c>
    </row>
    <row r="236" spans="1:21" x14ac:dyDescent="0.35">
      <c r="A236">
        <f t="shared" ca="1" si="65"/>
        <v>1</v>
      </c>
      <c r="B236" s="4" t="str">
        <f t="shared" ca="1" si="63"/>
        <v>M</v>
      </c>
      <c r="C236" s="3">
        <f t="shared" ca="1" si="66"/>
        <v>3</v>
      </c>
      <c r="D236" s="3">
        <f t="shared" ca="1" si="64"/>
        <v>40</v>
      </c>
      <c r="E236" s="3" t="str">
        <f t="shared" ca="1" si="67"/>
        <v>IT</v>
      </c>
      <c r="F236" s="3">
        <f t="shared" ca="1" si="68"/>
        <v>4</v>
      </c>
      <c r="G236" s="3" t="str">
        <f t="shared" ca="1" si="69"/>
        <v>PG</v>
      </c>
      <c r="H236" s="3">
        <f t="shared" ca="1" si="70"/>
        <v>3</v>
      </c>
      <c r="I236" s="3">
        <f t="shared" ca="1" si="71"/>
        <v>2</v>
      </c>
      <c r="J236" s="3">
        <f t="shared" ca="1" si="72"/>
        <v>4</v>
      </c>
      <c r="K236" s="3" t="str">
        <f t="shared" ca="1" si="73"/>
        <v>Maharashtra</v>
      </c>
      <c r="L236" s="3">
        <f t="shared" ca="1" si="74"/>
        <v>39403</v>
      </c>
      <c r="M236" s="3">
        <f t="shared" ca="1" si="75"/>
        <v>315224</v>
      </c>
      <c r="N236" s="3">
        <f t="shared" ca="1" si="76"/>
        <v>254324.18635652136</v>
      </c>
      <c r="O236" s="3">
        <f t="shared" ca="1" si="77"/>
        <v>15119.085155186027</v>
      </c>
      <c r="P236" s="3">
        <f t="shared" ca="1" si="78"/>
        <v>8353.9469626809387</v>
      </c>
      <c r="Q236" s="3">
        <f t="shared" ca="1" si="79"/>
        <v>1060.143506690189</v>
      </c>
      <c r="R236" s="3">
        <f t="shared" ca="1" si="80"/>
        <v>912.79421950451217</v>
      </c>
      <c r="S236" s="3">
        <f t="shared" ca="1" si="81"/>
        <v>331255.87937469053</v>
      </c>
      <c r="T236" s="3">
        <f t="shared" ca="1" si="82"/>
        <v>263738.27682589245</v>
      </c>
      <c r="U236" s="5">
        <f t="shared" ca="1" si="83"/>
        <v>67517.602548798081</v>
      </c>
    </row>
    <row r="237" spans="1:21" x14ac:dyDescent="0.35">
      <c r="A237">
        <f t="shared" ca="1" si="65"/>
        <v>1</v>
      </c>
      <c r="B237" s="4" t="str">
        <f t="shared" ca="1" si="63"/>
        <v>M</v>
      </c>
      <c r="C237" s="3">
        <f t="shared" ca="1" si="66"/>
        <v>7</v>
      </c>
      <c r="D237" s="3">
        <f t="shared" ca="1" si="64"/>
        <v>30</v>
      </c>
      <c r="E237" s="3" t="str">
        <f t="shared" ca="1" si="67"/>
        <v>Other</v>
      </c>
      <c r="F237" s="3">
        <f t="shared" ca="1" si="68"/>
        <v>6</v>
      </c>
      <c r="G237" s="3" t="str">
        <f t="shared" ca="1" si="69"/>
        <v>Doctorate</v>
      </c>
      <c r="H237" s="3">
        <f t="shared" ca="1" si="70"/>
        <v>2</v>
      </c>
      <c r="I237" s="3">
        <f t="shared" ca="1" si="71"/>
        <v>1</v>
      </c>
      <c r="J237" s="3">
        <f t="shared" ca="1" si="72"/>
        <v>24</v>
      </c>
      <c r="K237" s="3" t="str">
        <f t="shared" ca="1" si="73"/>
        <v>Tamil Nadu</v>
      </c>
      <c r="L237" s="3">
        <f t="shared" ca="1" si="74"/>
        <v>35759</v>
      </c>
      <c r="M237" s="3">
        <f t="shared" ca="1" si="75"/>
        <v>178795</v>
      </c>
      <c r="N237" s="3">
        <f t="shared" ca="1" si="76"/>
        <v>145200.39775837125</v>
      </c>
      <c r="O237" s="3">
        <f t="shared" ca="1" si="77"/>
        <v>27478.585083580143</v>
      </c>
      <c r="P237" s="3">
        <f t="shared" ca="1" si="78"/>
        <v>25875.754822841998</v>
      </c>
      <c r="Q237" s="3">
        <f t="shared" ca="1" si="79"/>
        <v>10998.997462737851</v>
      </c>
      <c r="R237" s="3">
        <f t="shared" ca="1" si="80"/>
        <v>32420.185342353765</v>
      </c>
      <c r="S237" s="3">
        <f t="shared" ca="1" si="81"/>
        <v>238693.77042593391</v>
      </c>
      <c r="T237" s="3">
        <f t="shared" ca="1" si="82"/>
        <v>182075.15004395109</v>
      </c>
      <c r="U237" s="5">
        <f t="shared" ca="1" si="83"/>
        <v>56618.620381982822</v>
      </c>
    </row>
    <row r="238" spans="1:21" x14ac:dyDescent="0.35">
      <c r="A238">
        <f t="shared" ca="1" si="65"/>
        <v>2</v>
      </c>
      <c r="B238" s="4" t="str">
        <f t="shared" ca="1" si="63"/>
        <v>F</v>
      </c>
      <c r="C238" s="3">
        <f t="shared" ca="1" si="66"/>
        <v>4</v>
      </c>
      <c r="D238" s="3">
        <f t="shared" ca="1" si="64"/>
        <v>30</v>
      </c>
      <c r="E238" s="3" t="str">
        <f t="shared" ca="1" si="67"/>
        <v>Accounting</v>
      </c>
      <c r="F238" s="3">
        <f t="shared" ca="1" si="68"/>
        <v>6</v>
      </c>
      <c r="G238" s="3" t="str">
        <f t="shared" ca="1" si="69"/>
        <v>Doctorate</v>
      </c>
      <c r="H238" s="3">
        <f t="shared" ca="1" si="70"/>
        <v>4</v>
      </c>
      <c r="I238" s="3">
        <f t="shared" ca="1" si="71"/>
        <v>3</v>
      </c>
      <c r="J238" s="3">
        <f t="shared" ca="1" si="72"/>
        <v>18</v>
      </c>
      <c r="K238" s="3" t="str">
        <f t="shared" ca="1" si="73"/>
        <v>Meghalya</v>
      </c>
      <c r="L238" s="3">
        <f t="shared" ca="1" si="74"/>
        <v>67361</v>
      </c>
      <c r="M238" s="3">
        <f t="shared" ca="1" si="75"/>
        <v>404166</v>
      </c>
      <c r="N238" s="3">
        <f t="shared" ca="1" si="76"/>
        <v>81667.635340609006</v>
      </c>
      <c r="O238" s="3">
        <f t="shared" ca="1" si="77"/>
        <v>157573.88753894452</v>
      </c>
      <c r="P238" s="3">
        <f t="shared" ca="1" si="78"/>
        <v>126167.58144404338</v>
      </c>
      <c r="Q238" s="3">
        <f t="shared" ca="1" si="79"/>
        <v>4912.9114003778386</v>
      </c>
      <c r="R238" s="3">
        <f t="shared" ca="1" si="80"/>
        <v>8561.5323991135974</v>
      </c>
      <c r="S238" s="3">
        <f t="shared" ca="1" si="81"/>
        <v>570301.41993805813</v>
      </c>
      <c r="T238" s="3">
        <f t="shared" ca="1" si="82"/>
        <v>212748.12818503022</v>
      </c>
      <c r="U238" s="5">
        <f t="shared" ca="1" si="83"/>
        <v>357553.29175302794</v>
      </c>
    </row>
    <row r="239" spans="1:21" x14ac:dyDescent="0.35">
      <c r="A239">
        <f t="shared" ca="1" si="65"/>
        <v>2</v>
      </c>
      <c r="B239" s="4" t="str">
        <f t="shared" ca="1" si="63"/>
        <v>F</v>
      </c>
      <c r="C239" s="3">
        <f t="shared" ca="1" si="66"/>
        <v>6</v>
      </c>
      <c r="D239" s="3">
        <f t="shared" ca="1" si="64"/>
        <v>25</v>
      </c>
      <c r="E239" s="3" t="str">
        <f t="shared" ca="1" si="67"/>
        <v>Art</v>
      </c>
      <c r="F239" s="3">
        <f t="shared" ca="1" si="68"/>
        <v>3</v>
      </c>
      <c r="G239" s="3" t="str">
        <f t="shared" ca="1" si="69"/>
        <v>UG</v>
      </c>
      <c r="H239" s="3">
        <f t="shared" ca="1" si="70"/>
        <v>4</v>
      </c>
      <c r="I239" s="3">
        <f t="shared" ca="1" si="71"/>
        <v>3</v>
      </c>
      <c r="J239" s="3">
        <f t="shared" ca="1" si="72"/>
        <v>7</v>
      </c>
      <c r="K239" s="3" t="str">
        <f t="shared" ca="1" si="73"/>
        <v>Assam</v>
      </c>
      <c r="L239" s="3">
        <f t="shared" ca="1" si="74"/>
        <v>79588</v>
      </c>
      <c r="M239" s="3">
        <f t="shared" ca="1" si="75"/>
        <v>477528</v>
      </c>
      <c r="N239" s="3">
        <f t="shared" ca="1" si="76"/>
        <v>161546.41955431571</v>
      </c>
      <c r="O239" s="3">
        <f t="shared" ca="1" si="77"/>
        <v>226401.9735683222</v>
      </c>
      <c r="P239" s="3">
        <f t="shared" ca="1" si="78"/>
        <v>219967.56740238666</v>
      </c>
      <c r="Q239" s="3">
        <f t="shared" ca="1" si="79"/>
        <v>8305.232743845876</v>
      </c>
      <c r="R239" s="3">
        <f t="shared" ca="1" si="80"/>
        <v>51691.039191548785</v>
      </c>
      <c r="S239" s="3">
        <f t="shared" ca="1" si="81"/>
        <v>755621.01275987097</v>
      </c>
      <c r="T239" s="3">
        <f t="shared" ca="1" si="82"/>
        <v>389819.21970054827</v>
      </c>
      <c r="U239" s="5">
        <f t="shared" ca="1" si="83"/>
        <v>365801.79305932269</v>
      </c>
    </row>
    <row r="240" spans="1:21" x14ac:dyDescent="0.35">
      <c r="A240">
        <f t="shared" ca="1" si="65"/>
        <v>2</v>
      </c>
      <c r="B240" s="4" t="str">
        <f t="shared" ca="1" si="63"/>
        <v>F</v>
      </c>
      <c r="C240" s="3">
        <f t="shared" ca="1" si="66"/>
        <v>7</v>
      </c>
      <c r="D240" s="3">
        <f t="shared" ca="1" si="64"/>
        <v>39</v>
      </c>
      <c r="E240" s="3" t="str">
        <f t="shared" ca="1" si="67"/>
        <v>Other</v>
      </c>
      <c r="F240" s="3">
        <f t="shared" ca="1" si="68"/>
        <v>7</v>
      </c>
      <c r="G240" s="3" t="str">
        <f t="shared" ca="1" si="69"/>
        <v>Other</v>
      </c>
      <c r="H240" s="3">
        <f t="shared" ca="1" si="70"/>
        <v>4</v>
      </c>
      <c r="I240" s="3">
        <f t="shared" ca="1" si="71"/>
        <v>2</v>
      </c>
      <c r="J240" s="3">
        <f t="shared" ca="1" si="72"/>
        <v>13</v>
      </c>
      <c r="K240" s="3" t="str">
        <f t="shared" ca="1" si="73"/>
        <v>Jharkhand</v>
      </c>
      <c r="L240" s="3">
        <f t="shared" ca="1" si="74"/>
        <v>59854</v>
      </c>
      <c r="M240" s="3">
        <f t="shared" ca="1" si="75"/>
        <v>538686</v>
      </c>
      <c r="N240" s="3">
        <f t="shared" ca="1" si="76"/>
        <v>167164.36220485007</v>
      </c>
      <c r="O240" s="3">
        <f t="shared" ca="1" si="77"/>
        <v>45381.626132471443</v>
      </c>
      <c r="P240" s="3">
        <f t="shared" ca="1" si="78"/>
        <v>18415.275166830201</v>
      </c>
      <c r="Q240" s="3">
        <f t="shared" ca="1" si="79"/>
        <v>37356.618036129184</v>
      </c>
      <c r="R240" s="3">
        <f t="shared" ca="1" si="80"/>
        <v>8423.9410720615197</v>
      </c>
      <c r="S240" s="3">
        <f t="shared" ca="1" si="81"/>
        <v>592491.56720453303</v>
      </c>
      <c r="T240" s="3">
        <f t="shared" ca="1" si="82"/>
        <v>222936.25540780945</v>
      </c>
      <c r="U240" s="5">
        <f t="shared" ca="1" si="83"/>
        <v>369555.31179672357</v>
      </c>
    </row>
    <row r="241" spans="1:21" x14ac:dyDescent="0.35">
      <c r="A241">
        <f t="shared" ca="1" si="65"/>
        <v>2</v>
      </c>
      <c r="B241" s="4" t="str">
        <f t="shared" ca="1" si="63"/>
        <v>F</v>
      </c>
      <c r="C241" s="3">
        <f t="shared" ca="1" si="66"/>
        <v>5</v>
      </c>
      <c r="D241" s="3">
        <f t="shared" ca="1" si="64"/>
        <v>41</v>
      </c>
      <c r="E241" s="3" t="str">
        <f t="shared" ca="1" si="67"/>
        <v>Research</v>
      </c>
      <c r="F241" s="3">
        <f t="shared" ca="1" si="68"/>
        <v>6</v>
      </c>
      <c r="G241" s="3" t="str">
        <f t="shared" ca="1" si="69"/>
        <v>Doctorate</v>
      </c>
      <c r="H241" s="3">
        <f t="shared" ca="1" si="70"/>
        <v>4</v>
      </c>
      <c r="I241" s="3">
        <f t="shared" ca="1" si="71"/>
        <v>0</v>
      </c>
      <c r="J241" s="3">
        <f t="shared" ca="1" si="72"/>
        <v>27</v>
      </c>
      <c r="K241" s="3" t="str">
        <f t="shared" ca="1" si="73"/>
        <v>Uttrakhand</v>
      </c>
      <c r="L241" s="3">
        <f t="shared" ca="1" si="74"/>
        <v>38384</v>
      </c>
      <c r="M241" s="3">
        <f t="shared" ca="1" si="75"/>
        <v>268688</v>
      </c>
      <c r="N241" s="3">
        <f t="shared" ca="1" si="76"/>
        <v>124823.47584730938</v>
      </c>
      <c r="O241" s="3">
        <f t="shared" ca="1" si="77"/>
        <v>0</v>
      </c>
      <c r="P241" s="3">
        <f t="shared" ca="1" si="78"/>
        <v>0</v>
      </c>
      <c r="Q241" s="3">
        <f t="shared" ca="1" si="79"/>
        <v>24278.782270334024</v>
      </c>
      <c r="R241" s="3">
        <f t="shared" ca="1" si="80"/>
        <v>36142.738443680777</v>
      </c>
      <c r="S241" s="3">
        <f t="shared" ca="1" si="81"/>
        <v>304830.73844368081</v>
      </c>
      <c r="T241" s="3">
        <f t="shared" ca="1" si="82"/>
        <v>149102.25811764342</v>
      </c>
      <c r="U241" s="5">
        <f t="shared" ca="1" si="83"/>
        <v>155728.48032603739</v>
      </c>
    </row>
    <row r="242" spans="1:21" x14ac:dyDescent="0.35">
      <c r="A242">
        <f t="shared" ca="1" si="65"/>
        <v>2</v>
      </c>
      <c r="B242" s="4" t="str">
        <f t="shared" ca="1" si="63"/>
        <v>F</v>
      </c>
      <c r="C242" s="3">
        <f t="shared" ca="1" si="66"/>
        <v>2</v>
      </c>
      <c r="D242" s="3">
        <f t="shared" ca="1" si="64"/>
        <v>21</v>
      </c>
      <c r="E242" s="3" t="str">
        <f t="shared" ca="1" si="67"/>
        <v>Healthcare</v>
      </c>
      <c r="F242" s="3">
        <f t="shared" ca="1" si="68"/>
        <v>3</v>
      </c>
      <c r="G242" s="3" t="str">
        <f t="shared" ca="1" si="69"/>
        <v>UG</v>
      </c>
      <c r="H242" s="3">
        <f t="shared" ca="1" si="70"/>
        <v>2</v>
      </c>
      <c r="I242" s="3">
        <f t="shared" ca="1" si="71"/>
        <v>2</v>
      </c>
      <c r="J242" s="3">
        <f t="shared" ca="1" si="72"/>
        <v>10</v>
      </c>
      <c r="K242" s="3" t="str">
        <f t="shared" ca="1" si="73"/>
        <v>Gujarat</v>
      </c>
      <c r="L242" s="3">
        <f t="shared" ca="1" si="74"/>
        <v>97529</v>
      </c>
      <c r="M242" s="3">
        <f t="shared" ca="1" si="75"/>
        <v>780232</v>
      </c>
      <c r="N242" s="3">
        <f t="shared" ca="1" si="76"/>
        <v>461990.9905419182</v>
      </c>
      <c r="O242" s="3">
        <f t="shared" ca="1" si="77"/>
        <v>30455.279069049473</v>
      </c>
      <c r="P242" s="3">
        <f t="shared" ca="1" si="78"/>
        <v>21770.197027301569</v>
      </c>
      <c r="Q242" s="3">
        <f t="shared" ca="1" si="79"/>
        <v>11634.773398505908</v>
      </c>
      <c r="R242" s="3">
        <f t="shared" ca="1" si="80"/>
        <v>82959.03649584463</v>
      </c>
      <c r="S242" s="3">
        <f t="shared" ca="1" si="81"/>
        <v>893646.31556489412</v>
      </c>
      <c r="T242" s="3">
        <f t="shared" ca="1" si="82"/>
        <v>495395.96096772572</v>
      </c>
      <c r="U242" s="5">
        <f t="shared" ca="1" si="83"/>
        <v>398250.35459716839</v>
      </c>
    </row>
    <row r="243" spans="1:21" x14ac:dyDescent="0.35">
      <c r="A243">
        <f t="shared" ca="1" si="65"/>
        <v>1</v>
      </c>
      <c r="B243" s="4" t="str">
        <f t="shared" ca="1" si="63"/>
        <v>M</v>
      </c>
      <c r="C243" s="3">
        <f t="shared" ca="1" si="66"/>
        <v>6</v>
      </c>
      <c r="D243" s="3">
        <f t="shared" ca="1" si="64"/>
        <v>21</v>
      </c>
      <c r="E243" s="3" t="str">
        <f t="shared" ca="1" si="67"/>
        <v>Art</v>
      </c>
      <c r="F243" s="3">
        <f t="shared" ca="1" si="68"/>
        <v>4</v>
      </c>
      <c r="G243" s="3" t="str">
        <f t="shared" ca="1" si="69"/>
        <v>PG</v>
      </c>
      <c r="H243" s="3">
        <f t="shared" ca="1" si="70"/>
        <v>2</v>
      </c>
      <c r="I243" s="3">
        <f t="shared" ca="1" si="71"/>
        <v>1</v>
      </c>
      <c r="J243" s="3">
        <f t="shared" ca="1" si="72"/>
        <v>9</v>
      </c>
      <c r="K243" s="3" t="str">
        <f t="shared" ca="1" si="73"/>
        <v>Chhattisgarh</v>
      </c>
      <c r="L243" s="3">
        <f t="shared" ca="1" si="74"/>
        <v>98970</v>
      </c>
      <c r="M243" s="3">
        <f t="shared" ca="1" si="75"/>
        <v>791760</v>
      </c>
      <c r="N243" s="3">
        <f t="shared" ca="1" si="76"/>
        <v>625689.79067581624</v>
      </c>
      <c r="O243" s="3">
        <f t="shared" ca="1" si="77"/>
        <v>9213.8097877434266</v>
      </c>
      <c r="P243" s="3">
        <f t="shared" ca="1" si="78"/>
        <v>1608.9295924328619</v>
      </c>
      <c r="Q243" s="3">
        <f t="shared" ca="1" si="79"/>
        <v>16337.441688744471</v>
      </c>
      <c r="R243" s="3">
        <f t="shared" ca="1" si="80"/>
        <v>30040.041331896398</v>
      </c>
      <c r="S243" s="3">
        <f t="shared" ca="1" si="81"/>
        <v>831013.85111963982</v>
      </c>
      <c r="T243" s="3">
        <f t="shared" ca="1" si="82"/>
        <v>643636.16195699363</v>
      </c>
      <c r="U243" s="5">
        <f t="shared" ca="1" si="83"/>
        <v>187377.68916264619</v>
      </c>
    </row>
    <row r="244" spans="1:21" x14ac:dyDescent="0.35">
      <c r="A244">
        <f t="shared" ca="1" si="65"/>
        <v>1</v>
      </c>
      <c r="B244" s="4" t="str">
        <f t="shared" ca="1" si="63"/>
        <v>M</v>
      </c>
      <c r="C244" s="3">
        <f t="shared" ca="1" si="66"/>
        <v>2</v>
      </c>
      <c r="D244" s="3">
        <f t="shared" ca="1" si="64"/>
        <v>45</v>
      </c>
      <c r="E244" s="3" t="str">
        <f t="shared" ca="1" si="67"/>
        <v>Healthcare</v>
      </c>
      <c r="F244" s="3">
        <f t="shared" ca="1" si="68"/>
        <v>6</v>
      </c>
      <c r="G244" s="3" t="str">
        <f t="shared" ca="1" si="69"/>
        <v>Doctorate</v>
      </c>
      <c r="H244" s="3">
        <f t="shared" ca="1" si="70"/>
        <v>4</v>
      </c>
      <c r="I244" s="3">
        <f t="shared" ca="1" si="71"/>
        <v>3</v>
      </c>
      <c r="J244" s="3">
        <f t="shared" ca="1" si="72"/>
        <v>17</v>
      </c>
      <c r="K244" s="3" t="str">
        <f t="shared" ca="1" si="73"/>
        <v xml:space="preserve">Manipur </v>
      </c>
      <c r="L244" s="3">
        <f t="shared" ca="1" si="74"/>
        <v>47125</v>
      </c>
      <c r="M244" s="3">
        <f t="shared" ca="1" si="75"/>
        <v>329875</v>
      </c>
      <c r="N244" s="3">
        <f t="shared" ca="1" si="76"/>
        <v>328779.34527737228</v>
      </c>
      <c r="O244" s="3">
        <f t="shared" ca="1" si="77"/>
        <v>29886.6332087786</v>
      </c>
      <c r="P244" s="3">
        <f t="shared" ca="1" si="78"/>
        <v>14959.487706820175</v>
      </c>
      <c r="Q244" s="3">
        <f t="shared" ca="1" si="79"/>
        <v>27989.667033961498</v>
      </c>
      <c r="R244" s="3">
        <f t="shared" ca="1" si="80"/>
        <v>28130.108056567158</v>
      </c>
      <c r="S244" s="3">
        <f t="shared" ca="1" si="81"/>
        <v>387891.74126534571</v>
      </c>
      <c r="T244" s="3">
        <f t="shared" ca="1" si="82"/>
        <v>371728.50001815398</v>
      </c>
      <c r="U244" s="5">
        <f t="shared" ca="1" si="83"/>
        <v>16163.241247191734</v>
      </c>
    </row>
    <row r="245" spans="1:21" x14ac:dyDescent="0.35">
      <c r="A245">
        <f t="shared" ca="1" si="65"/>
        <v>2</v>
      </c>
      <c r="B245" s="4" t="str">
        <f t="shared" ca="1" si="63"/>
        <v>F</v>
      </c>
      <c r="C245" s="3">
        <f t="shared" ca="1" si="66"/>
        <v>5</v>
      </c>
      <c r="D245" s="3">
        <f t="shared" ca="1" si="64"/>
        <v>38</v>
      </c>
      <c r="E245" s="3" t="str">
        <f t="shared" ca="1" si="67"/>
        <v>Research</v>
      </c>
      <c r="F245" s="3">
        <f t="shared" ca="1" si="68"/>
        <v>1</v>
      </c>
      <c r="G245" s="3" t="str">
        <f t="shared" ca="1" si="69"/>
        <v>Secondary</v>
      </c>
      <c r="H245" s="3">
        <f t="shared" ca="1" si="70"/>
        <v>4</v>
      </c>
      <c r="I245" s="3">
        <f t="shared" ca="1" si="71"/>
        <v>3</v>
      </c>
      <c r="J245" s="3">
        <f t="shared" ca="1" si="72"/>
        <v>8</v>
      </c>
      <c r="K245" s="3" t="str">
        <f t="shared" ca="1" si="73"/>
        <v>Bihar</v>
      </c>
      <c r="L245" s="3">
        <f t="shared" ca="1" si="74"/>
        <v>89538</v>
      </c>
      <c r="M245" s="3">
        <f t="shared" ca="1" si="75"/>
        <v>626766</v>
      </c>
      <c r="N245" s="3">
        <f t="shared" ca="1" si="76"/>
        <v>488758.27714943356</v>
      </c>
      <c r="O245" s="3">
        <f t="shared" ca="1" si="77"/>
        <v>165519.22482535476</v>
      </c>
      <c r="P245" s="3">
        <f t="shared" ca="1" si="78"/>
        <v>91159.5204881666</v>
      </c>
      <c r="Q245" s="3">
        <f t="shared" ca="1" si="79"/>
        <v>18135.173630704368</v>
      </c>
      <c r="R245" s="3">
        <f t="shared" ca="1" si="80"/>
        <v>7812.8873715977797</v>
      </c>
      <c r="S245" s="3">
        <f t="shared" ca="1" si="81"/>
        <v>800098.11219695257</v>
      </c>
      <c r="T245" s="3">
        <f t="shared" ca="1" si="82"/>
        <v>598052.97126830462</v>
      </c>
      <c r="U245" s="5">
        <f t="shared" ca="1" si="83"/>
        <v>202045.14092864795</v>
      </c>
    </row>
    <row r="246" spans="1:21" x14ac:dyDescent="0.35">
      <c r="A246">
        <f t="shared" ca="1" si="65"/>
        <v>2</v>
      </c>
      <c r="B246" s="4" t="str">
        <f t="shared" ca="1" si="63"/>
        <v>F</v>
      </c>
      <c r="C246" s="3">
        <f t="shared" ca="1" si="66"/>
        <v>6</v>
      </c>
      <c r="D246" s="3">
        <f t="shared" ca="1" si="64"/>
        <v>26</v>
      </c>
      <c r="E246" s="3" t="str">
        <f t="shared" ca="1" si="67"/>
        <v>Art</v>
      </c>
      <c r="F246" s="3">
        <f t="shared" ca="1" si="68"/>
        <v>4</v>
      </c>
      <c r="G246" s="3" t="str">
        <f t="shared" ca="1" si="69"/>
        <v>PG</v>
      </c>
      <c r="H246" s="3">
        <f t="shared" ca="1" si="70"/>
        <v>3</v>
      </c>
      <c r="I246" s="3">
        <f t="shared" ca="1" si="71"/>
        <v>3</v>
      </c>
      <c r="J246" s="3">
        <f t="shared" ca="1" si="72"/>
        <v>13</v>
      </c>
      <c r="K246" s="3" t="str">
        <f t="shared" ca="1" si="73"/>
        <v>Jharkhand</v>
      </c>
      <c r="L246" s="3">
        <f t="shared" ca="1" si="74"/>
        <v>79152</v>
      </c>
      <c r="M246" s="3">
        <f t="shared" ca="1" si="75"/>
        <v>395760</v>
      </c>
      <c r="N246" s="3">
        <f t="shared" ca="1" si="76"/>
        <v>153323.59093749119</v>
      </c>
      <c r="O246" s="3">
        <f t="shared" ca="1" si="77"/>
        <v>158800.09069918029</v>
      </c>
      <c r="P246" s="3">
        <f t="shared" ca="1" si="78"/>
        <v>52222.276786682683</v>
      </c>
      <c r="Q246" s="3">
        <f t="shared" ca="1" si="79"/>
        <v>3276.4970829745748</v>
      </c>
      <c r="R246" s="3">
        <f t="shared" ca="1" si="80"/>
        <v>37740.601609536468</v>
      </c>
      <c r="S246" s="3">
        <f t="shared" ca="1" si="81"/>
        <v>592300.69230871671</v>
      </c>
      <c r="T246" s="3">
        <f t="shared" ca="1" si="82"/>
        <v>208822.36480714846</v>
      </c>
      <c r="U246" s="5">
        <f t="shared" ca="1" si="83"/>
        <v>383478.32750156824</v>
      </c>
    </row>
    <row r="247" spans="1:21" x14ac:dyDescent="0.35">
      <c r="A247">
        <f t="shared" ca="1" si="65"/>
        <v>2</v>
      </c>
      <c r="B247" s="4" t="str">
        <f t="shared" ca="1" si="63"/>
        <v>F</v>
      </c>
      <c r="C247" s="3">
        <f t="shared" ca="1" si="66"/>
        <v>3</v>
      </c>
      <c r="D247" s="3">
        <f t="shared" ca="1" si="64"/>
        <v>25</v>
      </c>
      <c r="E247" s="3" t="str">
        <f t="shared" ca="1" si="67"/>
        <v>IT</v>
      </c>
      <c r="F247" s="3">
        <f t="shared" ca="1" si="68"/>
        <v>3</v>
      </c>
      <c r="G247" s="3" t="str">
        <f t="shared" ca="1" si="69"/>
        <v>UG</v>
      </c>
      <c r="H247" s="3">
        <f t="shared" ca="1" si="70"/>
        <v>0</v>
      </c>
      <c r="I247" s="3">
        <f t="shared" ca="1" si="71"/>
        <v>0</v>
      </c>
      <c r="J247" s="3">
        <f t="shared" ca="1" si="72"/>
        <v>25</v>
      </c>
      <c r="K247" s="3" t="str">
        <f t="shared" ca="1" si="73"/>
        <v>Telangana</v>
      </c>
      <c r="L247" s="3">
        <f t="shared" ca="1" si="74"/>
        <v>92306</v>
      </c>
      <c r="M247" s="3">
        <f t="shared" ca="1" si="75"/>
        <v>830754</v>
      </c>
      <c r="N247" s="3">
        <f t="shared" ca="1" si="76"/>
        <v>505574.67196118884</v>
      </c>
      <c r="O247" s="3">
        <f t="shared" ca="1" si="77"/>
        <v>0</v>
      </c>
      <c r="P247" s="3">
        <f t="shared" ca="1" si="78"/>
        <v>0</v>
      </c>
      <c r="Q247" s="3">
        <f t="shared" ca="1" si="79"/>
        <v>11835.539702464141</v>
      </c>
      <c r="R247" s="3">
        <f t="shared" ca="1" si="80"/>
        <v>90212.550424504909</v>
      </c>
      <c r="S247" s="3">
        <f t="shared" ca="1" si="81"/>
        <v>920966.55042450491</v>
      </c>
      <c r="T247" s="3">
        <f t="shared" ca="1" si="82"/>
        <v>517410.21166365297</v>
      </c>
      <c r="U247" s="5">
        <f t="shared" ca="1" si="83"/>
        <v>403556.33876085194</v>
      </c>
    </row>
    <row r="248" spans="1:21" x14ac:dyDescent="0.35">
      <c r="A248">
        <f t="shared" ca="1" si="65"/>
        <v>2</v>
      </c>
      <c r="B248" s="4" t="str">
        <f t="shared" ca="1" si="63"/>
        <v>F</v>
      </c>
      <c r="C248" s="3">
        <f t="shared" ca="1" si="66"/>
        <v>1</v>
      </c>
      <c r="D248" s="3">
        <f t="shared" ca="1" si="64"/>
        <v>33</v>
      </c>
      <c r="E248" s="3" t="str">
        <f t="shared" ca="1" si="67"/>
        <v>Engineering</v>
      </c>
      <c r="F248" s="3">
        <f t="shared" ca="1" si="68"/>
        <v>2</v>
      </c>
      <c r="G248" s="3" t="str">
        <f t="shared" ca="1" si="69"/>
        <v>Senior Secondary</v>
      </c>
      <c r="H248" s="3">
        <f t="shared" ca="1" si="70"/>
        <v>0</v>
      </c>
      <c r="I248" s="3">
        <f t="shared" ca="1" si="71"/>
        <v>0</v>
      </c>
      <c r="J248" s="3">
        <f t="shared" ca="1" si="72"/>
        <v>22</v>
      </c>
      <c r="K248" s="3" t="str">
        <f t="shared" ca="1" si="73"/>
        <v>Rajasthan</v>
      </c>
      <c r="L248" s="3">
        <f t="shared" ca="1" si="74"/>
        <v>27255</v>
      </c>
      <c r="M248" s="3">
        <f t="shared" ca="1" si="75"/>
        <v>190785</v>
      </c>
      <c r="N248" s="3">
        <f t="shared" ca="1" si="76"/>
        <v>163091.95596574023</v>
      </c>
      <c r="O248" s="3">
        <f t="shared" ca="1" si="77"/>
        <v>0</v>
      </c>
      <c r="P248" s="3">
        <f t="shared" ca="1" si="78"/>
        <v>0</v>
      </c>
      <c r="Q248" s="3">
        <f t="shared" ca="1" si="79"/>
        <v>27091.70575099314</v>
      </c>
      <c r="R248" s="3">
        <f t="shared" ca="1" si="80"/>
        <v>13088.309986600267</v>
      </c>
      <c r="S248" s="3">
        <f t="shared" ca="1" si="81"/>
        <v>203873.30998660027</v>
      </c>
      <c r="T248" s="3">
        <f t="shared" ca="1" si="82"/>
        <v>190183.66171673336</v>
      </c>
      <c r="U248" s="5">
        <f t="shared" ca="1" si="83"/>
        <v>13689.648269866913</v>
      </c>
    </row>
    <row r="249" spans="1:21" x14ac:dyDescent="0.35">
      <c r="A249">
        <f t="shared" ca="1" si="65"/>
        <v>1</v>
      </c>
      <c r="B249" s="4" t="str">
        <f t="shared" ca="1" si="63"/>
        <v>M</v>
      </c>
      <c r="C249" s="3">
        <f t="shared" ca="1" si="66"/>
        <v>6</v>
      </c>
      <c r="D249" s="3">
        <f t="shared" ca="1" si="64"/>
        <v>32</v>
      </c>
      <c r="E249" s="3" t="str">
        <f t="shared" ca="1" si="67"/>
        <v>Art</v>
      </c>
      <c r="F249" s="3">
        <f t="shared" ca="1" si="68"/>
        <v>2</v>
      </c>
      <c r="G249" s="3" t="str">
        <f t="shared" ca="1" si="69"/>
        <v>Senior Secondary</v>
      </c>
      <c r="H249" s="3">
        <f t="shared" ca="1" si="70"/>
        <v>2</v>
      </c>
      <c r="I249" s="3">
        <f t="shared" ca="1" si="71"/>
        <v>2</v>
      </c>
      <c r="J249" s="3">
        <f t="shared" ca="1" si="72"/>
        <v>3</v>
      </c>
      <c r="K249" s="3" t="str">
        <f t="shared" ca="1" si="73"/>
        <v>Punjab</v>
      </c>
      <c r="L249" s="3">
        <f t="shared" ca="1" si="74"/>
        <v>81688</v>
      </c>
      <c r="M249" s="3">
        <f t="shared" ca="1" si="75"/>
        <v>571816</v>
      </c>
      <c r="N249" s="3">
        <f t="shared" ca="1" si="76"/>
        <v>124784.00862769385</v>
      </c>
      <c r="O249" s="3">
        <f t="shared" ca="1" si="77"/>
        <v>7246.7686862207984</v>
      </c>
      <c r="P249" s="3">
        <f t="shared" ca="1" si="78"/>
        <v>3980.6668062997092</v>
      </c>
      <c r="Q249" s="3">
        <f t="shared" ca="1" si="79"/>
        <v>32348.073325670597</v>
      </c>
      <c r="R249" s="3">
        <f t="shared" ca="1" si="80"/>
        <v>38916.505400180627</v>
      </c>
      <c r="S249" s="3">
        <f t="shared" ca="1" si="81"/>
        <v>617979.27408640133</v>
      </c>
      <c r="T249" s="3">
        <f t="shared" ca="1" si="82"/>
        <v>161112.74875966416</v>
      </c>
      <c r="U249" s="5">
        <f t="shared" ca="1" si="83"/>
        <v>456866.5253267372</v>
      </c>
    </row>
    <row r="250" spans="1:21" x14ac:dyDescent="0.35">
      <c r="A250">
        <f t="shared" ca="1" si="65"/>
        <v>2</v>
      </c>
      <c r="B250" s="4" t="str">
        <f t="shared" ca="1" si="63"/>
        <v>F</v>
      </c>
      <c r="C250" s="3">
        <f t="shared" ca="1" si="66"/>
        <v>1</v>
      </c>
      <c r="D250" s="3">
        <f t="shared" ca="1" si="64"/>
        <v>33</v>
      </c>
      <c r="E250" s="3" t="str">
        <f t="shared" ca="1" si="67"/>
        <v>Engineering</v>
      </c>
      <c r="F250" s="3">
        <f t="shared" ca="1" si="68"/>
        <v>2</v>
      </c>
      <c r="G250" s="3" t="str">
        <f t="shared" ca="1" si="69"/>
        <v>Senior Secondary</v>
      </c>
      <c r="H250" s="3">
        <f t="shared" ca="1" si="70"/>
        <v>0</v>
      </c>
      <c r="I250" s="3">
        <f t="shared" ca="1" si="71"/>
        <v>3</v>
      </c>
      <c r="J250" s="3">
        <f t="shared" ca="1" si="72"/>
        <v>17</v>
      </c>
      <c r="K250" s="3" t="str">
        <f t="shared" ca="1" si="73"/>
        <v xml:space="preserve">Manipur </v>
      </c>
      <c r="L250" s="3">
        <f t="shared" ca="1" si="74"/>
        <v>44573</v>
      </c>
      <c r="M250" s="3">
        <f t="shared" ca="1" si="75"/>
        <v>312011</v>
      </c>
      <c r="N250" s="3">
        <f t="shared" ca="1" si="76"/>
        <v>11143.176846933846</v>
      </c>
      <c r="O250" s="3">
        <f t="shared" ca="1" si="77"/>
        <v>47028.187418997171</v>
      </c>
      <c r="P250" s="3">
        <f t="shared" ca="1" si="78"/>
        <v>1342.5402047891746</v>
      </c>
      <c r="Q250" s="3">
        <f t="shared" ca="1" si="79"/>
        <v>41399.161533376406</v>
      </c>
      <c r="R250" s="3">
        <f t="shared" ca="1" si="80"/>
        <v>22345.100275813242</v>
      </c>
      <c r="S250" s="3">
        <f t="shared" ca="1" si="81"/>
        <v>381384.28769481042</v>
      </c>
      <c r="T250" s="3">
        <f t="shared" ca="1" si="82"/>
        <v>53884.878585099425</v>
      </c>
      <c r="U250" s="5">
        <f t="shared" ca="1" si="83"/>
        <v>327499.40910971101</v>
      </c>
    </row>
    <row r="251" spans="1:21" x14ac:dyDescent="0.35">
      <c r="A251">
        <f t="shared" ca="1" si="65"/>
        <v>1</v>
      </c>
      <c r="B251" s="4" t="str">
        <f t="shared" ca="1" si="63"/>
        <v>M</v>
      </c>
      <c r="C251" s="3">
        <f t="shared" ca="1" si="66"/>
        <v>7</v>
      </c>
      <c r="D251" s="3">
        <f t="shared" ca="1" si="64"/>
        <v>24</v>
      </c>
      <c r="E251" s="3" t="str">
        <f t="shared" ca="1" si="67"/>
        <v>Other</v>
      </c>
      <c r="F251" s="3">
        <f t="shared" ca="1" si="68"/>
        <v>2</v>
      </c>
      <c r="G251" s="3" t="str">
        <f t="shared" ca="1" si="69"/>
        <v>Senior Secondary</v>
      </c>
      <c r="H251" s="3">
        <f t="shared" ca="1" si="70"/>
        <v>0</v>
      </c>
      <c r="I251" s="3">
        <f t="shared" ca="1" si="71"/>
        <v>2</v>
      </c>
      <c r="J251" s="3">
        <f t="shared" ca="1" si="72"/>
        <v>1</v>
      </c>
      <c r="K251" s="3" t="str">
        <f t="shared" ca="1" si="73"/>
        <v>Haryana</v>
      </c>
      <c r="L251" s="3">
        <f t="shared" ca="1" si="74"/>
        <v>74847</v>
      </c>
      <c r="M251" s="3">
        <f t="shared" ca="1" si="75"/>
        <v>673623</v>
      </c>
      <c r="N251" s="3">
        <f t="shared" ca="1" si="76"/>
        <v>489438.0068016302</v>
      </c>
      <c r="O251" s="3">
        <f t="shared" ca="1" si="77"/>
        <v>37218.036905568835</v>
      </c>
      <c r="P251" s="3">
        <f t="shared" ca="1" si="78"/>
        <v>34306.059349044197</v>
      </c>
      <c r="Q251" s="3">
        <f t="shared" ca="1" si="79"/>
        <v>24777.556476644335</v>
      </c>
      <c r="R251" s="3">
        <f t="shared" ca="1" si="80"/>
        <v>1451.0821756650118</v>
      </c>
      <c r="S251" s="3">
        <f t="shared" ca="1" si="81"/>
        <v>712292.11908123386</v>
      </c>
      <c r="T251" s="3">
        <f t="shared" ca="1" si="82"/>
        <v>548521.62262731872</v>
      </c>
      <c r="U251" s="5">
        <f t="shared" ca="1" si="83"/>
        <v>163770.49645391514</v>
      </c>
    </row>
    <row r="252" spans="1:21" x14ac:dyDescent="0.35">
      <c r="A252">
        <f t="shared" ca="1" si="65"/>
        <v>2</v>
      </c>
      <c r="B252" s="4" t="str">
        <f t="shared" ca="1" si="63"/>
        <v>F</v>
      </c>
      <c r="C252" s="3">
        <f t="shared" ca="1" si="66"/>
        <v>1</v>
      </c>
      <c r="D252" s="3">
        <f t="shared" ca="1" si="64"/>
        <v>40</v>
      </c>
      <c r="E252" s="3" t="str">
        <f t="shared" ca="1" si="67"/>
        <v>Engineering</v>
      </c>
      <c r="F252" s="3">
        <f t="shared" ca="1" si="68"/>
        <v>5</v>
      </c>
      <c r="G252" s="3" t="str">
        <f t="shared" ca="1" si="69"/>
        <v>Diploma</v>
      </c>
      <c r="H252" s="3">
        <f t="shared" ca="1" si="70"/>
        <v>3</v>
      </c>
      <c r="I252" s="3">
        <f t="shared" ca="1" si="71"/>
        <v>0</v>
      </c>
      <c r="J252" s="3">
        <f t="shared" ca="1" si="72"/>
        <v>15</v>
      </c>
      <c r="K252" s="3" t="str">
        <f t="shared" ca="1" si="73"/>
        <v>Kerela</v>
      </c>
      <c r="L252" s="3">
        <f t="shared" ca="1" si="74"/>
        <v>60708</v>
      </c>
      <c r="M252" s="3">
        <f t="shared" ca="1" si="75"/>
        <v>546372</v>
      </c>
      <c r="N252" s="3">
        <f t="shared" ca="1" si="76"/>
        <v>172111.10573135506</v>
      </c>
      <c r="O252" s="3">
        <f t="shared" ca="1" si="77"/>
        <v>0</v>
      </c>
      <c r="P252" s="3">
        <f t="shared" ca="1" si="78"/>
        <v>0</v>
      </c>
      <c r="Q252" s="3">
        <f t="shared" ca="1" si="79"/>
        <v>59161.273409499445</v>
      </c>
      <c r="R252" s="3">
        <f t="shared" ca="1" si="80"/>
        <v>8699.8804731977452</v>
      </c>
      <c r="S252" s="3">
        <f t="shared" ca="1" si="81"/>
        <v>555071.88047319779</v>
      </c>
      <c r="T252" s="3">
        <f t="shared" ca="1" si="82"/>
        <v>231272.37914085449</v>
      </c>
      <c r="U252" s="5">
        <f t="shared" ca="1" si="83"/>
        <v>323799.50133234332</v>
      </c>
    </row>
    <row r="253" spans="1:21" x14ac:dyDescent="0.35">
      <c r="A253">
        <f t="shared" ca="1" si="65"/>
        <v>2</v>
      </c>
      <c r="B253" s="4" t="str">
        <f t="shared" ca="1" si="63"/>
        <v>F</v>
      </c>
      <c r="C253" s="3">
        <f t="shared" ca="1" si="66"/>
        <v>4</v>
      </c>
      <c r="D253" s="3">
        <f t="shared" ca="1" si="64"/>
        <v>39</v>
      </c>
      <c r="E253" s="3" t="str">
        <f t="shared" ca="1" si="67"/>
        <v>Accounting</v>
      </c>
      <c r="F253" s="3">
        <f t="shared" ca="1" si="68"/>
        <v>5</v>
      </c>
      <c r="G253" s="3" t="str">
        <f t="shared" ca="1" si="69"/>
        <v>Diploma</v>
      </c>
      <c r="H253" s="3">
        <f t="shared" ca="1" si="70"/>
        <v>4</v>
      </c>
      <c r="I253" s="3">
        <f t="shared" ca="1" si="71"/>
        <v>3</v>
      </c>
      <c r="J253" s="3">
        <f t="shared" ca="1" si="72"/>
        <v>16</v>
      </c>
      <c r="K253" s="3" t="str">
        <f t="shared" ca="1" si="73"/>
        <v>Madhya Pradesh</v>
      </c>
      <c r="L253" s="3">
        <f t="shared" ca="1" si="74"/>
        <v>72081</v>
      </c>
      <c r="M253" s="3">
        <f t="shared" ca="1" si="75"/>
        <v>648729</v>
      </c>
      <c r="N253" s="3">
        <f t="shared" ca="1" si="76"/>
        <v>348678.63356431859</v>
      </c>
      <c r="O253" s="3">
        <f t="shared" ca="1" si="77"/>
        <v>189904.45313622415</v>
      </c>
      <c r="P253" s="3">
        <f t="shared" ca="1" si="78"/>
        <v>50081.754926032976</v>
      </c>
      <c r="Q253" s="3">
        <f t="shared" ca="1" si="79"/>
        <v>62201.025201357807</v>
      </c>
      <c r="R253" s="3">
        <f t="shared" ca="1" si="80"/>
        <v>49928.019009805401</v>
      </c>
      <c r="S253" s="3">
        <f t="shared" ca="1" si="81"/>
        <v>888561.47214602958</v>
      </c>
      <c r="T253" s="3">
        <f t="shared" ca="1" si="82"/>
        <v>460961.41369170934</v>
      </c>
      <c r="U253" s="5">
        <f t="shared" ca="1" si="83"/>
        <v>427600.05845432024</v>
      </c>
    </row>
    <row r="254" spans="1:21" x14ac:dyDescent="0.35">
      <c r="A254">
        <f t="shared" ca="1" si="65"/>
        <v>1</v>
      </c>
      <c r="B254" s="4" t="str">
        <f t="shared" ca="1" si="63"/>
        <v>M</v>
      </c>
      <c r="C254" s="3">
        <f t="shared" ca="1" si="66"/>
        <v>1</v>
      </c>
      <c r="D254" s="3">
        <f t="shared" ca="1" si="64"/>
        <v>44</v>
      </c>
      <c r="E254" s="3" t="str">
        <f t="shared" ca="1" si="67"/>
        <v>Engineering</v>
      </c>
      <c r="F254" s="3">
        <f t="shared" ca="1" si="68"/>
        <v>3</v>
      </c>
      <c r="G254" s="3" t="str">
        <f t="shared" ca="1" si="69"/>
        <v>UG</v>
      </c>
      <c r="H254" s="3">
        <f t="shared" ca="1" si="70"/>
        <v>0</v>
      </c>
      <c r="I254" s="3">
        <f t="shared" ca="1" si="71"/>
        <v>0</v>
      </c>
      <c r="J254" s="3">
        <f t="shared" ca="1" si="72"/>
        <v>20</v>
      </c>
      <c r="K254" s="3" t="str">
        <f t="shared" ca="1" si="73"/>
        <v>Nagaland</v>
      </c>
      <c r="L254" s="3">
        <f t="shared" ca="1" si="74"/>
        <v>46573</v>
      </c>
      <c r="M254" s="3">
        <f t="shared" ca="1" si="75"/>
        <v>372584</v>
      </c>
      <c r="N254" s="3">
        <f t="shared" ca="1" si="76"/>
        <v>322586.62992146454</v>
      </c>
      <c r="O254" s="3">
        <f t="shared" ca="1" si="77"/>
        <v>0</v>
      </c>
      <c r="P254" s="3">
        <f t="shared" ca="1" si="78"/>
        <v>0</v>
      </c>
      <c r="Q254" s="3">
        <f t="shared" ca="1" si="79"/>
        <v>39552.49832874335</v>
      </c>
      <c r="R254" s="3">
        <f t="shared" ca="1" si="80"/>
        <v>43156.652737757991</v>
      </c>
      <c r="S254" s="3">
        <f t="shared" ca="1" si="81"/>
        <v>415740.65273775801</v>
      </c>
      <c r="T254" s="3">
        <f t="shared" ca="1" si="82"/>
        <v>362139.12825020787</v>
      </c>
      <c r="U254" s="5">
        <f t="shared" ca="1" si="83"/>
        <v>53601.524487550138</v>
      </c>
    </row>
    <row r="255" spans="1:21" x14ac:dyDescent="0.35">
      <c r="A255">
        <f t="shared" ca="1" si="65"/>
        <v>2</v>
      </c>
      <c r="B255" s="4" t="str">
        <f t="shared" ca="1" si="63"/>
        <v>F</v>
      </c>
      <c r="C255" s="3">
        <f t="shared" ca="1" si="66"/>
        <v>5</v>
      </c>
      <c r="D255" s="3">
        <f t="shared" ca="1" si="64"/>
        <v>41</v>
      </c>
      <c r="E255" s="3" t="str">
        <f t="shared" ca="1" si="67"/>
        <v>Research</v>
      </c>
      <c r="F255" s="3">
        <f t="shared" ca="1" si="68"/>
        <v>4</v>
      </c>
      <c r="G255" s="3" t="str">
        <f t="shared" ca="1" si="69"/>
        <v>PG</v>
      </c>
      <c r="H255" s="3">
        <f t="shared" ca="1" si="70"/>
        <v>3</v>
      </c>
      <c r="I255" s="3">
        <f t="shared" ca="1" si="71"/>
        <v>2</v>
      </c>
      <c r="J255" s="3">
        <f t="shared" ca="1" si="72"/>
        <v>8</v>
      </c>
      <c r="K255" s="3" t="str">
        <f t="shared" ca="1" si="73"/>
        <v>Bihar</v>
      </c>
      <c r="L255" s="3">
        <f t="shared" ca="1" si="74"/>
        <v>74818</v>
      </c>
      <c r="M255" s="3">
        <f t="shared" ca="1" si="75"/>
        <v>673362</v>
      </c>
      <c r="N255" s="3">
        <f t="shared" ca="1" si="76"/>
        <v>437766.08804501937</v>
      </c>
      <c r="O255" s="3">
        <f t="shared" ca="1" si="77"/>
        <v>52013.347855374966</v>
      </c>
      <c r="P255" s="3">
        <f t="shared" ca="1" si="78"/>
        <v>19824.90525988536</v>
      </c>
      <c r="Q255" s="3">
        <f t="shared" ca="1" si="79"/>
        <v>66357.944328908852</v>
      </c>
      <c r="R255" s="3">
        <f t="shared" ca="1" si="80"/>
        <v>58981.253745257949</v>
      </c>
      <c r="S255" s="3">
        <f t="shared" ca="1" si="81"/>
        <v>784356.60160063289</v>
      </c>
      <c r="T255" s="3">
        <f t="shared" ca="1" si="82"/>
        <v>523948.93763381359</v>
      </c>
      <c r="U255" s="5">
        <f t="shared" ca="1" si="83"/>
        <v>260407.66396681929</v>
      </c>
    </row>
    <row r="256" spans="1:21" x14ac:dyDescent="0.35">
      <c r="A256">
        <f t="shared" ca="1" si="65"/>
        <v>1</v>
      </c>
      <c r="B256" s="4" t="str">
        <f t="shared" ca="1" si="63"/>
        <v>M</v>
      </c>
      <c r="C256" s="3">
        <f t="shared" ca="1" si="66"/>
        <v>2</v>
      </c>
      <c r="D256" s="3">
        <f t="shared" ca="1" si="64"/>
        <v>31</v>
      </c>
      <c r="E256" s="3" t="str">
        <f t="shared" ca="1" si="67"/>
        <v>Healthcare</v>
      </c>
      <c r="F256" s="3">
        <f t="shared" ca="1" si="68"/>
        <v>4</v>
      </c>
      <c r="G256" s="3" t="str">
        <f t="shared" ca="1" si="69"/>
        <v>PG</v>
      </c>
      <c r="H256" s="3">
        <f t="shared" ca="1" si="70"/>
        <v>4</v>
      </c>
      <c r="I256" s="3">
        <f t="shared" ca="1" si="71"/>
        <v>0</v>
      </c>
      <c r="J256" s="3">
        <f t="shared" ca="1" si="72"/>
        <v>21</v>
      </c>
      <c r="K256" s="3" t="str">
        <f t="shared" ca="1" si="73"/>
        <v>Odisha</v>
      </c>
      <c r="L256" s="3">
        <f t="shared" ca="1" si="74"/>
        <v>58269</v>
      </c>
      <c r="M256" s="3">
        <f t="shared" ca="1" si="75"/>
        <v>291345</v>
      </c>
      <c r="N256" s="3">
        <f t="shared" ca="1" si="76"/>
        <v>190862.12776716228</v>
      </c>
      <c r="O256" s="3">
        <f t="shared" ca="1" si="77"/>
        <v>0</v>
      </c>
      <c r="P256" s="3">
        <f t="shared" ca="1" si="78"/>
        <v>0</v>
      </c>
      <c r="Q256" s="3">
        <f t="shared" ca="1" si="79"/>
        <v>45422.987366916816</v>
      </c>
      <c r="R256" s="3">
        <f t="shared" ca="1" si="80"/>
        <v>150.15304828799947</v>
      </c>
      <c r="S256" s="3">
        <f t="shared" ca="1" si="81"/>
        <v>291495.15304828802</v>
      </c>
      <c r="T256" s="3">
        <f t="shared" ca="1" si="82"/>
        <v>236285.1151340791</v>
      </c>
      <c r="U256" s="5">
        <f t="shared" ca="1" si="83"/>
        <v>55210.037914208922</v>
      </c>
    </row>
    <row r="257" spans="1:21" x14ac:dyDescent="0.35">
      <c r="A257">
        <f t="shared" ca="1" si="65"/>
        <v>2</v>
      </c>
      <c r="B257" s="4" t="str">
        <f t="shared" ca="1" si="63"/>
        <v>F</v>
      </c>
      <c r="C257" s="3">
        <f t="shared" ca="1" si="66"/>
        <v>6</v>
      </c>
      <c r="D257" s="3">
        <f t="shared" ca="1" si="64"/>
        <v>27</v>
      </c>
      <c r="E257" s="3" t="str">
        <f t="shared" ca="1" si="67"/>
        <v>Art</v>
      </c>
      <c r="F257" s="3">
        <f t="shared" ca="1" si="68"/>
        <v>1</v>
      </c>
      <c r="G257" s="3" t="str">
        <f t="shared" ca="1" si="69"/>
        <v>Secondary</v>
      </c>
      <c r="H257" s="3">
        <f t="shared" ca="1" si="70"/>
        <v>2</v>
      </c>
      <c r="I257" s="3">
        <f t="shared" ca="1" si="71"/>
        <v>2</v>
      </c>
      <c r="J257" s="3">
        <f t="shared" ca="1" si="72"/>
        <v>8</v>
      </c>
      <c r="K257" s="3" t="str">
        <f t="shared" ca="1" si="73"/>
        <v>Bihar</v>
      </c>
      <c r="L257" s="3">
        <f t="shared" ca="1" si="74"/>
        <v>68339</v>
      </c>
      <c r="M257" s="3">
        <f t="shared" ca="1" si="75"/>
        <v>615051</v>
      </c>
      <c r="N257" s="3">
        <f t="shared" ca="1" si="76"/>
        <v>424507.92705832073</v>
      </c>
      <c r="O257" s="3">
        <f t="shared" ca="1" si="77"/>
        <v>60114.61744015781</v>
      </c>
      <c r="P257" s="3">
        <f t="shared" ca="1" si="78"/>
        <v>54102.108864956761</v>
      </c>
      <c r="Q257" s="3">
        <f t="shared" ca="1" si="79"/>
        <v>33200.935372970547</v>
      </c>
      <c r="R257" s="3">
        <f t="shared" ca="1" si="80"/>
        <v>54812.520277016927</v>
      </c>
      <c r="S257" s="3">
        <f t="shared" ca="1" si="81"/>
        <v>729978.13771717472</v>
      </c>
      <c r="T257" s="3">
        <f t="shared" ca="1" si="82"/>
        <v>511810.97129624803</v>
      </c>
      <c r="U257" s="5">
        <f t="shared" ca="1" si="83"/>
        <v>218167.16642092669</v>
      </c>
    </row>
    <row r="258" spans="1:21" x14ac:dyDescent="0.35">
      <c r="A258">
        <f t="shared" ca="1" si="65"/>
        <v>2</v>
      </c>
      <c r="B258" s="4" t="str">
        <f t="shared" ca="1" si="63"/>
        <v>F</v>
      </c>
      <c r="C258" s="3">
        <f t="shared" ca="1" si="66"/>
        <v>1</v>
      </c>
      <c r="D258" s="3">
        <f t="shared" ca="1" si="64"/>
        <v>21</v>
      </c>
      <c r="E258" s="3" t="str">
        <f t="shared" ca="1" si="67"/>
        <v>Engineering</v>
      </c>
      <c r="F258" s="3">
        <f t="shared" ca="1" si="68"/>
        <v>5</v>
      </c>
      <c r="G258" s="3" t="str">
        <f t="shared" ca="1" si="69"/>
        <v>Diploma</v>
      </c>
      <c r="H258" s="3">
        <f t="shared" ca="1" si="70"/>
        <v>2</v>
      </c>
      <c r="I258" s="3">
        <f t="shared" ca="1" si="71"/>
        <v>0</v>
      </c>
      <c r="J258" s="3">
        <f t="shared" ca="1" si="72"/>
        <v>15</v>
      </c>
      <c r="K258" s="3" t="str">
        <f t="shared" ca="1" si="73"/>
        <v>Kerela</v>
      </c>
      <c r="L258" s="3">
        <f t="shared" ca="1" si="74"/>
        <v>63781</v>
      </c>
      <c r="M258" s="3">
        <f t="shared" ca="1" si="75"/>
        <v>318905</v>
      </c>
      <c r="N258" s="3">
        <f t="shared" ca="1" si="76"/>
        <v>74101.010592822073</v>
      </c>
      <c r="O258" s="3">
        <f t="shared" ca="1" si="77"/>
        <v>0</v>
      </c>
      <c r="P258" s="3">
        <f t="shared" ca="1" si="78"/>
        <v>0</v>
      </c>
      <c r="Q258" s="3">
        <f t="shared" ca="1" si="79"/>
        <v>49189.233953126488</v>
      </c>
      <c r="R258" s="3">
        <f t="shared" ca="1" si="80"/>
        <v>58790.621831223718</v>
      </c>
      <c r="S258" s="3">
        <f t="shared" ca="1" si="81"/>
        <v>377695.62183122372</v>
      </c>
      <c r="T258" s="3">
        <f t="shared" ca="1" si="82"/>
        <v>123290.24454594856</v>
      </c>
      <c r="U258" s="5">
        <f t="shared" ca="1" si="83"/>
        <v>254405.37728527514</v>
      </c>
    </row>
    <row r="259" spans="1:21" x14ac:dyDescent="0.35">
      <c r="A259">
        <f t="shared" ca="1" si="65"/>
        <v>1</v>
      </c>
      <c r="B259" s="4" t="str">
        <f t="shared" ca="1" si="63"/>
        <v>M</v>
      </c>
      <c r="C259" s="3">
        <f t="shared" ca="1" si="66"/>
        <v>3</v>
      </c>
      <c r="D259" s="3">
        <f t="shared" ca="1" si="64"/>
        <v>25</v>
      </c>
      <c r="E259" s="3" t="str">
        <f t="shared" ca="1" si="67"/>
        <v>IT</v>
      </c>
      <c r="F259" s="3">
        <f t="shared" ca="1" si="68"/>
        <v>5</v>
      </c>
      <c r="G259" s="3" t="str">
        <f t="shared" ca="1" si="69"/>
        <v>Diploma</v>
      </c>
      <c r="H259" s="3">
        <f t="shared" ca="1" si="70"/>
        <v>2</v>
      </c>
      <c r="I259" s="3">
        <f t="shared" ca="1" si="71"/>
        <v>0</v>
      </c>
      <c r="J259" s="3">
        <f t="shared" ca="1" si="72"/>
        <v>12</v>
      </c>
      <c r="K259" s="3" t="str">
        <f t="shared" ca="1" si="73"/>
        <v>Himachal Pradesh</v>
      </c>
      <c r="L259" s="3">
        <f t="shared" ca="1" si="74"/>
        <v>41876</v>
      </c>
      <c r="M259" s="3">
        <f t="shared" ca="1" si="75"/>
        <v>209380</v>
      </c>
      <c r="N259" s="3">
        <f t="shared" ca="1" si="76"/>
        <v>131733.30663317526</v>
      </c>
      <c r="O259" s="3">
        <f t="shared" ca="1" si="77"/>
        <v>0</v>
      </c>
      <c r="P259" s="3">
        <f t="shared" ca="1" si="78"/>
        <v>0</v>
      </c>
      <c r="Q259" s="3">
        <f t="shared" ca="1" si="79"/>
        <v>24862.627770530999</v>
      </c>
      <c r="R259" s="3">
        <f t="shared" ca="1" si="80"/>
        <v>3975.9164149440285</v>
      </c>
      <c r="S259" s="3">
        <f t="shared" ca="1" si="81"/>
        <v>213355.91641494402</v>
      </c>
      <c r="T259" s="3">
        <f t="shared" ca="1" si="82"/>
        <v>156595.93440370625</v>
      </c>
      <c r="U259" s="5">
        <f t="shared" ca="1" si="83"/>
        <v>56759.982011237764</v>
      </c>
    </row>
    <row r="260" spans="1:21" x14ac:dyDescent="0.35">
      <c r="A260">
        <f t="shared" ca="1" si="65"/>
        <v>2</v>
      </c>
      <c r="B260" s="4" t="str">
        <f t="shared" ca="1" si="63"/>
        <v>F</v>
      </c>
      <c r="C260" s="3">
        <f t="shared" ca="1" si="66"/>
        <v>6</v>
      </c>
      <c r="D260" s="3">
        <f t="shared" ca="1" si="64"/>
        <v>41</v>
      </c>
      <c r="E260" s="3" t="str">
        <f t="shared" ca="1" si="67"/>
        <v>Art</v>
      </c>
      <c r="F260" s="3">
        <f t="shared" ca="1" si="68"/>
        <v>5</v>
      </c>
      <c r="G260" s="3" t="str">
        <f t="shared" ca="1" si="69"/>
        <v>Diploma</v>
      </c>
      <c r="H260" s="3">
        <f t="shared" ca="1" si="70"/>
        <v>2</v>
      </c>
      <c r="I260" s="3">
        <f t="shared" ca="1" si="71"/>
        <v>1</v>
      </c>
      <c r="J260" s="3">
        <f t="shared" ca="1" si="72"/>
        <v>17</v>
      </c>
      <c r="K260" s="3" t="str">
        <f t="shared" ca="1" si="73"/>
        <v xml:space="preserve">Manipur </v>
      </c>
      <c r="L260" s="3">
        <f t="shared" ca="1" si="74"/>
        <v>70074</v>
      </c>
      <c r="M260" s="3">
        <f t="shared" ca="1" si="75"/>
        <v>560592</v>
      </c>
      <c r="N260" s="3">
        <f t="shared" ca="1" si="76"/>
        <v>393533.73523054656</v>
      </c>
      <c r="O260" s="3">
        <f t="shared" ca="1" si="77"/>
        <v>49981.71850371176</v>
      </c>
      <c r="P260" s="3">
        <f t="shared" ca="1" si="78"/>
        <v>18787.401814987581</v>
      </c>
      <c r="Q260" s="3">
        <f t="shared" ca="1" si="79"/>
        <v>33051.819719177111</v>
      </c>
      <c r="R260" s="3">
        <f t="shared" ca="1" si="80"/>
        <v>7857.8372153901873</v>
      </c>
      <c r="S260" s="3">
        <f t="shared" ca="1" si="81"/>
        <v>618431.55571910192</v>
      </c>
      <c r="T260" s="3">
        <f t="shared" ca="1" si="82"/>
        <v>445372.95676471124</v>
      </c>
      <c r="U260" s="5">
        <f t="shared" ca="1" si="83"/>
        <v>173058.59895439068</v>
      </c>
    </row>
    <row r="261" spans="1:21" x14ac:dyDescent="0.35">
      <c r="A261">
        <f t="shared" ca="1" si="65"/>
        <v>1</v>
      </c>
      <c r="B261" s="4" t="str">
        <f t="shared" ca="1" si="63"/>
        <v>M</v>
      </c>
      <c r="C261" s="3">
        <f t="shared" ca="1" si="66"/>
        <v>5</v>
      </c>
      <c r="D261" s="3">
        <f t="shared" ca="1" si="64"/>
        <v>42</v>
      </c>
      <c r="E261" s="3" t="str">
        <f t="shared" ca="1" si="67"/>
        <v>Research</v>
      </c>
      <c r="F261" s="3">
        <f t="shared" ca="1" si="68"/>
        <v>6</v>
      </c>
      <c r="G261" s="3" t="str">
        <f t="shared" ca="1" si="69"/>
        <v>Doctorate</v>
      </c>
      <c r="H261" s="3">
        <f t="shared" ca="1" si="70"/>
        <v>4</v>
      </c>
      <c r="I261" s="3">
        <f t="shared" ca="1" si="71"/>
        <v>0</v>
      </c>
      <c r="J261" s="3">
        <f t="shared" ca="1" si="72"/>
        <v>27</v>
      </c>
      <c r="K261" s="3" t="str">
        <f t="shared" ca="1" si="73"/>
        <v>Uttrakhand</v>
      </c>
      <c r="L261" s="3">
        <f t="shared" ca="1" si="74"/>
        <v>54248</v>
      </c>
      <c r="M261" s="3">
        <f t="shared" ca="1" si="75"/>
        <v>433984</v>
      </c>
      <c r="N261" s="3">
        <f t="shared" ca="1" si="76"/>
        <v>30027.296848160302</v>
      </c>
      <c r="O261" s="3">
        <f t="shared" ca="1" si="77"/>
        <v>0</v>
      </c>
      <c r="P261" s="3">
        <f t="shared" ca="1" si="78"/>
        <v>0</v>
      </c>
      <c r="Q261" s="3">
        <f t="shared" ca="1" si="79"/>
        <v>2780.9016908956883</v>
      </c>
      <c r="R261" s="3">
        <f t="shared" ca="1" si="80"/>
        <v>11309.000165472651</v>
      </c>
      <c r="S261" s="3">
        <f t="shared" ca="1" si="81"/>
        <v>445293.00016547262</v>
      </c>
      <c r="T261" s="3">
        <f t="shared" ca="1" si="82"/>
        <v>32808.198539055993</v>
      </c>
      <c r="U261" s="5">
        <f t="shared" ca="1" si="83"/>
        <v>412484.80162641662</v>
      </c>
    </row>
    <row r="262" spans="1:21" x14ac:dyDescent="0.35">
      <c r="A262">
        <f t="shared" ca="1" si="65"/>
        <v>1</v>
      </c>
      <c r="B262" s="4" t="str">
        <f t="shared" ca="1" si="63"/>
        <v>M</v>
      </c>
      <c r="C262" s="3">
        <f t="shared" ca="1" si="66"/>
        <v>7</v>
      </c>
      <c r="D262" s="3">
        <f t="shared" ca="1" si="64"/>
        <v>38</v>
      </c>
      <c r="E262" s="3" t="str">
        <f t="shared" ca="1" si="67"/>
        <v>Other</v>
      </c>
      <c r="F262" s="3">
        <f t="shared" ca="1" si="68"/>
        <v>1</v>
      </c>
      <c r="G262" s="3" t="str">
        <f t="shared" ca="1" si="69"/>
        <v>Secondary</v>
      </c>
      <c r="H262" s="3">
        <f t="shared" ca="1" si="70"/>
        <v>0</v>
      </c>
      <c r="I262" s="3">
        <f t="shared" ca="1" si="71"/>
        <v>2</v>
      </c>
      <c r="J262" s="3">
        <f t="shared" ca="1" si="72"/>
        <v>8</v>
      </c>
      <c r="K262" s="3" t="str">
        <f t="shared" ca="1" si="73"/>
        <v>Bihar</v>
      </c>
      <c r="L262" s="3">
        <f t="shared" ca="1" si="74"/>
        <v>73383</v>
      </c>
      <c r="M262" s="3">
        <f t="shared" ca="1" si="75"/>
        <v>440298</v>
      </c>
      <c r="N262" s="3">
        <f t="shared" ca="1" si="76"/>
        <v>413629.23909956735</v>
      </c>
      <c r="O262" s="3">
        <f t="shared" ca="1" si="77"/>
        <v>9072.3296744372929</v>
      </c>
      <c r="P262" s="3">
        <f t="shared" ca="1" si="78"/>
        <v>7435.6801475410139</v>
      </c>
      <c r="Q262" s="3">
        <f t="shared" ca="1" si="79"/>
        <v>45043.656466748842</v>
      </c>
      <c r="R262" s="3">
        <f t="shared" ca="1" si="80"/>
        <v>39833.21535917405</v>
      </c>
      <c r="S262" s="3">
        <f t="shared" ca="1" si="81"/>
        <v>489203.54503361136</v>
      </c>
      <c r="T262" s="3">
        <f t="shared" ca="1" si="82"/>
        <v>466108.57571385719</v>
      </c>
      <c r="U262" s="5">
        <f t="shared" ca="1" si="83"/>
        <v>23094.969319754164</v>
      </c>
    </row>
    <row r="263" spans="1:21" x14ac:dyDescent="0.35">
      <c r="A263">
        <f t="shared" ca="1" si="65"/>
        <v>2</v>
      </c>
      <c r="B263" s="4" t="str">
        <f t="shared" ref="B263:B326" ca="1" si="84">IF(A263=1,"M","F")</f>
        <v>F</v>
      </c>
      <c r="C263" s="3">
        <f t="shared" ca="1" si="66"/>
        <v>2</v>
      </c>
      <c r="D263" s="3">
        <f t="shared" ref="D263:D326" ca="1" si="85">RANDBETWEEN(18,45)</f>
        <v>30</v>
      </c>
      <c r="E263" s="3" t="str">
        <f t="shared" ca="1" si="67"/>
        <v>Healthcare</v>
      </c>
      <c r="F263" s="3">
        <f t="shared" ca="1" si="68"/>
        <v>1</v>
      </c>
      <c r="G263" s="3" t="str">
        <f t="shared" ca="1" si="69"/>
        <v>Secondary</v>
      </c>
      <c r="H263" s="3">
        <f t="shared" ca="1" si="70"/>
        <v>2</v>
      </c>
      <c r="I263" s="3">
        <f t="shared" ca="1" si="71"/>
        <v>0</v>
      </c>
      <c r="J263" s="3">
        <f t="shared" ca="1" si="72"/>
        <v>8</v>
      </c>
      <c r="K263" s="3" t="str">
        <f t="shared" ca="1" si="73"/>
        <v>Bihar</v>
      </c>
      <c r="L263" s="3">
        <f t="shared" ca="1" si="74"/>
        <v>38268</v>
      </c>
      <c r="M263" s="3">
        <f t="shared" ca="1" si="75"/>
        <v>306144</v>
      </c>
      <c r="N263" s="3">
        <f t="shared" ca="1" si="76"/>
        <v>22050.685191498524</v>
      </c>
      <c r="O263" s="3">
        <f t="shared" ca="1" si="77"/>
        <v>0</v>
      </c>
      <c r="P263" s="3">
        <f t="shared" ca="1" si="78"/>
        <v>0</v>
      </c>
      <c r="Q263" s="3">
        <f t="shared" ca="1" si="79"/>
        <v>5652.5354788158393</v>
      </c>
      <c r="R263" s="3">
        <f t="shared" ca="1" si="80"/>
        <v>5571.6027063082565</v>
      </c>
      <c r="S263" s="3">
        <f t="shared" ca="1" si="81"/>
        <v>311715.60270630824</v>
      </c>
      <c r="T263" s="3">
        <f t="shared" ca="1" si="82"/>
        <v>27703.220670314364</v>
      </c>
      <c r="U263" s="5">
        <f t="shared" ca="1" si="83"/>
        <v>284012.38203599385</v>
      </c>
    </row>
    <row r="264" spans="1:21" x14ac:dyDescent="0.35">
      <c r="A264">
        <f t="shared" ref="A264:A327" ca="1" si="86">RANDBETWEEN(1,2)</f>
        <v>2</v>
      </c>
      <c r="B264" s="4" t="str">
        <f t="shared" ca="1" si="84"/>
        <v>F</v>
      </c>
      <c r="C264" s="3">
        <f t="shared" ref="C264:C327" ca="1" si="87">RANDBETWEEN(1,7)</f>
        <v>5</v>
      </c>
      <c r="D264" s="3">
        <f t="shared" ca="1" si="85"/>
        <v>39</v>
      </c>
      <c r="E264" s="3" t="str">
        <f t="shared" ref="E264:E327" ca="1" si="88">VLOOKUP(C264,$Y$7:$Z$13,2)</f>
        <v>Research</v>
      </c>
      <c r="F264" s="3">
        <f t="shared" ref="F264:F327" ca="1" si="89">RANDBETWEEN(1,7)</f>
        <v>5</v>
      </c>
      <c r="G264" s="3" t="str">
        <f t="shared" ref="G264:G327" ca="1" si="90">VLOOKUP(F264,$AB$7:$AC$13,2)</f>
        <v>Diploma</v>
      </c>
      <c r="H264" s="3">
        <f t="shared" ref="H264:H327" ca="1" si="91">RANDBETWEEN(0,4)</f>
        <v>4</v>
      </c>
      <c r="I264" s="3">
        <f t="shared" ref="I264:I327" ca="1" si="92">RANDBETWEEN(0,3)</f>
        <v>2</v>
      </c>
      <c r="J264" s="3">
        <f t="shared" ref="J264:J327" ca="1" si="93">RANDBETWEEN(1,28)</f>
        <v>24</v>
      </c>
      <c r="K264" s="3" t="str">
        <f t="shared" ref="K264:K327" ca="1" si="94">VLOOKUP(J264,$AE$7:$AF$34,2)</f>
        <v>Tamil Nadu</v>
      </c>
      <c r="L264" s="3">
        <f t="shared" ref="L264:L327" ca="1" si="95">RANDBETWEEN(25000,99000)</f>
        <v>52954</v>
      </c>
      <c r="M264" s="3">
        <f t="shared" ref="M264:M327" ca="1" si="96">L264*RANDBETWEEN(5,9)</f>
        <v>423632</v>
      </c>
      <c r="N264" s="3">
        <f t="shared" ref="N264:N327" ca="1" si="97">RAND()*M264</f>
        <v>188267.23069297345</v>
      </c>
      <c r="O264" s="3">
        <f t="shared" ref="O264:O327" ca="1" si="98">RAND()*I264*L264</f>
        <v>22550.944246264135</v>
      </c>
      <c r="P264" s="3">
        <f t="shared" ref="P264:P327" ca="1" si="99">O264*RAND()</f>
        <v>21041.717388657351</v>
      </c>
      <c r="Q264" s="3">
        <f t="shared" ref="Q264:Q327" ca="1" si="100">RAND()*L264</f>
        <v>44902.23848196699</v>
      </c>
      <c r="R264" s="3">
        <f t="shared" ref="R264:R327" ca="1" si="101">RAND()*L264</f>
        <v>19040.249195098004</v>
      </c>
      <c r="S264" s="3">
        <f t="shared" ref="S264:S327" ca="1" si="102">M264+O264+R264</f>
        <v>465223.19344136212</v>
      </c>
      <c r="T264" s="3">
        <f t="shared" ref="T264:T327" ca="1" si="103">N264+P264+Q264</f>
        <v>254211.18656359779</v>
      </c>
      <c r="U264" s="5">
        <f t="shared" ref="U264:U327" ca="1" si="104">S264-T264</f>
        <v>211012.00687776433</v>
      </c>
    </row>
    <row r="265" spans="1:21" x14ac:dyDescent="0.35">
      <c r="A265">
        <f t="shared" ca="1" si="86"/>
        <v>1</v>
      </c>
      <c r="B265" s="4" t="str">
        <f t="shared" ca="1" si="84"/>
        <v>M</v>
      </c>
      <c r="C265" s="3">
        <f t="shared" ca="1" si="87"/>
        <v>2</v>
      </c>
      <c r="D265" s="3">
        <f t="shared" ca="1" si="85"/>
        <v>19</v>
      </c>
      <c r="E265" s="3" t="str">
        <f t="shared" ca="1" si="88"/>
        <v>Healthcare</v>
      </c>
      <c r="F265" s="3">
        <f t="shared" ca="1" si="89"/>
        <v>4</v>
      </c>
      <c r="G265" s="3" t="str">
        <f t="shared" ca="1" si="90"/>
        <v>PG</v>
      </c>
      <c r="H265" s="3">
        <f t="shared" ca="1" si="91"/>
        <v>4</v>
      </c>
      <c r="I265" s="3">
        <f t="shared" ca="1" si="92"/>
        <v>1</v>
      </c>
      <c r="J265" s="3">
        <f t="shared" ca="1" si="93"/>
        <v>20</v>
      </c>
      <c r="K265" s="3" t="str">
        <f t="shared" ca="1" si="94"/>
        <v>Nagaland</v>
      </c>
      <c r="L265" s="3">
        <f t="shared" ca="1" si="95"/>
        <v>83121</v>
      </c>
      <c r="M265" s="3">
        <f t="shared" ca="1" si="96"/>
        <v>498726</v>
      </c>
      <c r="N265" s="3">
        <f t="shared" ca="1" si="97"/>
        <v>217116.08178921186</v>
      </c>
      <c r="O265" s="3">
        <f t="shared" ca="1" si="98"/>
        <v>37212.139031010338</v>
      </c>
      <c r="P265" s="3">
        <f t="shared" ca="1" si="99"/>
        <v>2036.3715374326725</v>
      </c>
      <c r="Q265" s="3">
        <f t="shared" ca="1" si="100"/>
        <v>9278.0836026708766</v>
      </c>
      <c r="R265" s="3">
        <f t="shared" ca="1" si="101"/>
        <v>35833.679808050445</v>
      </c>
      <c r="S265" s="3">
        <f t="shared" ca="1" si="102"/>
        <v>571771.81883906072</v>
      </c>
      <c r="T265" s="3">
        <f t="shared" ca="1" si="103"/>
        <v>228430.53692931542</v>
      </c>
      <c r="U265" s="5">
        <f t="shared" ca="1" si="104"/>
        <v>343341.2819097453</v>
      </c>
    </row>
    <row r="266" spans="1:21" x14ac:dyDescent="0.35">
      <c r="A266">
        <f t="shared" ca="1" si="86"/>
        <v>2</v>
      </c>
      <c r="B266" s="4" t="str">
        <f t="shared" ca="1" si="84"/>
        <v>F</v>
      </c>
      <c r="C266" s="3">
        <f t="shared" ca="1" si="87"/>
        <v>6</v>
      </c>
      <c r="D266" s="3">
        <f t="shared" ca="1" si="85"/>
        <v>37</v>
      </c>
      <c r="E266" s="3" t="str">
        <f t="shared" ca="1" si="88"/>
        <v>Art</v>
      </c>
      <c r="F266" s="3">
        <f t="shared" ca="1" si="89"/>
        <v>3</v>
      </c>
      <c r="G266" s="3" t="str">
        <f t="shared" ca="1" si="90"/>
        <v>UG</v>
      </c>
      <c r="H266" s="3">
        <f t="shared" ca="1" si="91"/>
        <v>2</v>
      </c>
      <c r="I266" s="3">
        <f t="shared" ca="1" si="92"/>
        <v>1</v>
      </c>
      <c r="J266" s="3">
        <f t="shared" ca="1" si="93"/>
        <v>9</v>
      </c>
      <c r="K266" s="3" t="str">
        <f t="shared" ca="1" si="94"/>
        <v>Chhattisgarh</v>
      </c>
      <c r="L266" s="3">
        <f t="shared" ca="1" si="95"/>
        <v>79484</v>
      </c>
      <c r="M266" s="3">
        <f t="shared" ca="1" si="96"/>
        <v>556388</v>
      </c>
      <c r="N266" s="3">
        <f t="shared" ca="1" si="97"/>
        <v>399401.46117626026</v>
      </c>
      <c r="O266" s="3">
        <f t="shared" ca="1" si="98"/>
        <v>10238.516383685223</v>
      </c>
      <c r="P266" s="3">
        <f t="shared" ca="1" si="99"/>
        <v>8503.1395035433397</v>
      </c>
      <c r="Q266" s="3">
        <f t="shared" ca="1" si="100"/>
        <v>35452.063827781167</v>
      </c>
      <c r="R266" s="3">
        <f t="shared" ca="1" si="101"/>
        <v>60061.46964873917</v>
      </c>
      <c r="S266" s="3">
        <f t="shared" ca="1" si="102"/>
        <v>626687.98603242438</v>
      </c>
      <c r="T266" s="3">
        <f t="shared" ca="1" si="103"/>
        <v>443356.66450758476</v>
      </c>
      <c r="U266" s="5">
        <f t="shared" ca="1" si="104"/>
        <v>183331.32152483962</v>
      </c>
    </row>
    <row r="267" spans="1:21" x14ac:dyDescent="0.35">
      <c r="A267">
        <f t="shared" ca="1" si="86"/>
        <v>1</v>
      </c>
      <c r="B267" s="4" t="str">
        <f t="shared" ca="1" si="84"/>
        <v>M</v>
      </c>
      <c r="C267" s="3">
        <f t="shared" ca="1" si="87"/>
        <v>6</v>
      </c>
      <c r="D267" s="3">
        <f t="shared" ca="1" si="85"/>
        <v>25</v>
      </c>
      <c r="E267" s="3" t="str">
        <f t="shared" ca="1" si="88"/>
        <v>Art</v>
      </c>
      <c r="F267" s="3">
        <f t="shared" ca="1" si="89"/>
        <v>6</v>
      </c>
      <c r="G267" s="3" t="str">
        <f t="shared" ca="1" si="90"/>
        <v>Doctorate</v>
      </c>
      <c r="H267" s="3">
        <f t="shared" ca="1" si="91"/>
        <v>0</v>
      </c>
      <c r="I267" s="3">
        <f t="shared" ca="1" si="92"/>
        <v>2</v>
      </c>
      <c r="J267" s="3">
        <f t="shared" ca="1" si="93"/>
        <v>27</v>
      </c>
      <c r="K267" s="3" t="str">
        <f t="shared" ca="1" si="94"/>
        <v>Uttrakhand</v>
      </c>
      <c r="L267" s="3">
        <f t="shared" ca="1" si="95"/>
        <v>58596</v>
      </c>
      <c r="M267" s="3">
        <f t="shared" ca="1" si="96"/>
        <v>410172</v>
      </c>
      <c r="N267" s="3">
        <f t="shared" ca="1" si="97"/>
        <v>343852.0527746462</v>
      </c>
      <c r="O267" s="3">
        <f t="shared" ca="1" si="98"/>
        <v>1047.5206926054589</v>
      </c>
      <c r="P267" s="3">
        <f t="shared" ca="1" si="99"/>
        <v>262.46785455518727</v>
      </c>
      <c r="Q267" s="3">
        <f t="shared" ca="1" si="100"/>
        <v>20530.50996324444</v>
      </c>
      <c r="R267" s="3">
        <f t="shared" ca="1" si="101"/>
        <v>52726.434915665261</v>
      </c>
      <c r="S267" s="3">
        <f t="shared" ca="1" si="102"/>
        <v>463945.95560827071</v>
      </c>
      <c r="T267" s="3">
        <f t="shared" ca="1" si="103"/>
        <v>364645.03059244581</v>
      </c>
      <c r="U267" s="5">
        <f t="shared" ca="1" si="104"/>
        <v>99300.925015824905</v>
      </c>
    </row>
    <row r="268" spans="1:21" x14ac:dyDescent="0.35">
      <c r="A268">
        <f t="shared" ca="1" si="86"/>
        <v>1</v>
      </c>
      <c r="B268" s="4" t="str">
        <f t="shared" ca="1" si="84"/>
        <v>M</v>
      </c>
      <c r="C268" s="3">
        <f t="shared" ca="1" si="87"/>
        <v>5</v>
      </c>
      <c r="D268" s="3">
        <f t="shared" ca="1" si="85"/>
        <v>20</v>
      </c>
      <c r="E268" s="3" t="str">
        <f t="shared" ca="1" si="88"/>
        <v>Research</v>
      </c>
      <c r="F268" s="3">
        <f t="shared" ca="1" si="89"/>
        <v>1</v>
      </c>
      <c r="G268" s="3" t="str">
        <f t="shared" ca="1" si="90"/>
        <v>Secondary</v>
      </c>
      <c r="H268" s="3">
        <f t="shared" ca="1" si="91"/>
        <v>4</v>
      </c>
      <c r="I268" s="3">
        <f t="shared" ca="1" si="92"/>
        <v>2</v>
      </c>
      <c r="J268" s="3">
        <f t="shared" ca="1" si="93"/>
        <v>11</v>
      </c>
      <c r="K268" s="3" t="str">
        <f t="shared" ca="1" si="94"/>
        <v>Goa</v>
      </c>
      <c r="L268" s="3">
        <f t="shared" ca="1" si="95"/>
        <v>86274</v>
      </c>
      <c r="M268" s="3">
        <f t="shared" ca="1" si="96"/>
        <v>603918</v>
      </c>
      <c r="N268" s="3">
        <f t="shared" ca="1" si="97"/>
        <v>583904.83242358442</v>
      </c>
      <c r="O268" s="3">
        <f t="shared" ca="1" si="98"/>
        <v>116438.39031847012</v>
      </c>
      <c r="P268" s="3">
        <f t="shared" ca="1" si="99"/>
        <v>35255.657982520963</v>
      </c>
      <c r="Q268" s="3">
        <f t="shared" ca="1" si="100"/>
        <v>49533.301267859017</v>
      </c>
      <c r="R268" s="3">
        <f t="shared" ca="1" si="101"/>
        <v>13613.790563102159</v>
      </c>
      <c r="S268" s="3">
        <f t="shared" ca="1" si="102"/>
        <v>733970.18088157219</v>
      </c>
      <c r="T268" s="3">
        <f t="shared" ca="1" si="103"/>
        <v>668693.79167396447</v>
      </c>
      <c r="U268" s="5">
        <f t="shared" ca="1" si="104"/>
        <v>65276.389207607717</v>
      </c>
    </row>
    <row r="269" spans="1:21" x14ac:dyDescent="0.35">
      <c r="A269">
        <f t="shared" ca="1" si="86"/>
        <v>2</v>
      </c>
      <c r="B269" s="4" t="str">
        <f t="shared" ca="1" si="84"/>
        <v>F</v>
      </c>
      <c r="C269" s="3">
        <f t="shared" ca="1" si="87"/>
        <v>3</v>
      </c>
      <c r="D269" s="3">
        <f t="shared" ca="1" si="85"/>
        <v>34</v>
      </c>
      <c r="E269" s="3" t="str">
        <f t="shared" ca="1" si="88"/>
        <v>IT</v>
      </c>
      <c r="F269" s="3">
        <f t="shared" ca="1" si="89"/>
        <v>2</v>
      </c>
      <c r="G269" s="3" t="str">
        <f t="shared" ca="1" si="90"/>
        <v>Senior Secondary</v>
      </c>
      <c r="H269" s="3">
        <f t="shared" ca="1" si="91"/>
        <v>1</v>
      </c>
      <c r="I269" s="3">
        <f t="shared" ca="1" si="92"/>
        <v>0</v>
      </c>
      <c r="J269" s="3">
        <f t="shared" ca="1" si="93"/>
        <v>7</v>
      </c>
      <c r="K269" s="3" t="str">
        <f t="shared" ca="1" si="94"/>
        <v>Assam</v>
      </c>
      <c r="L269" s="3">
        <f t="shared" ca="1" si="95"/>
        <v>70689</v>
      </c>
      <c r="M269" s="3">
        <f t="shared" ca="1" si="96"/>
        <v>353445</v>
      </c>
      <c r="N269" s="3">
        <f t="shared" ca="1" si="97"/>
        <v>128250.66758587016</v>
      </c>
      <c r="O269" s="3">
        <f t="shared" ca="1" si="98"/>
        <v>0</v>
      </c>
      <c r="P269" s="3">
        <f t="shared" ca="1" si="99"/>
        <v>0</v>
      </c>
      <c r="Q269" s="3">
        <f t="shared" ca="1" si="100"/>
        <v>309.84604768492034</v>
      </c>
      <c r="R269" s="3">
        <f t="shared" ca="1" si="101"/>
        <v>29672.533463985914</v>
      </c>
      <c r="S269" s="3">
        <f t="shared" ca="1" si="102"/>
        <v>383117.53346398589</v>
      </c>
      <c r="T269" s="3">
        <f t="shared" ca="1" si="103"/>
        <v>128560.51363355508</v>
      </c>
      <c r="U269" s="5">
        <f t="shared" ca="1" si="104"/>
        <v>254557.0198304308</v>
      </c>
    </row>
    <row r="270" spans="1:21" x14ac:dyDescent="0.35">
      <c r="A270">
        <f t="shared" ca="1" si="86"/>
        <v>1</v>
      </c>
      <c r="B270" s="4" t="str">
        <f t="shared" ca="1" si="84"/>
        <v>M</v>
      </c>
      <c r="C270" s="3">
        <f t="shared" ca="1" si="87"/>
        <v>3</v>
      </c>
      <c r="D270" s="3">
        <f t="shared" ca="1" si="85"/>
        <v>40</v>
      </c>
      <c r="E270" s="3" t="str">
        <f t="shared" ca="1" si="88"/>
        <v>IT</v>
      </c>
      <c r="F270" s="3">
        <f t="shared" ca="1" si="89"/>
        <v>5</v>
      </c>
      <c r="G270" s="3" t="str">
        <f t="shared" ca="1" si="90"/>
        <v>Diploma</v>
      </c>
      <c r="H270" s="3">
        <f t="shared" ca="1" si="91"/>
        <v>4</v>
      </c>
      <c r="I270" s="3">
        <f t="shared" ca="1" si="92"/>
        <v>1</v>
      </c>
      <c r="J270" s="3">
        <f t="shared" ca="1" si="93"/>
        <v>26</v>
      </c>
      <c r="K270" s="3" t="str">
        <f t="shared" ca="1" si="94"/>
        <v>Tripura</v>
      </c>
      <c r="L270" s="3">
        <f t="shared" ca="1" si="95"/>
        <v>84589</v>
      </c>
      <c r="M270" s="3">
        <f t="shared" ca="1" si="96"/>
        <v>507534</v>
      </c>
      <c r="N270" s="3">
        <f t="shared" ca="1" si="97"/>
        <v>144790.28498730145</v>
      </c>
      <c r="O270" s="3">
        <f t="shared" ca="1" si="98"/>
        <v>64472.172438112153</v>
      </c>
      <c r="P270" s="3">
        <f t="shared" ca="1" si="99"/>
        <v>62652.77351378771</v>
      </c>
      <c r="Q270" s="3">
        <f t="shared" ca="1" si="100"/>
        <v>17542.479086159612</v>
      </c>
      <c r="R270" s="3">
        <f t="shared" ca="1" si="101"/>
        <v>1334.3655452079358</v>
      </c>
      <c r="S270" s="3">
        <f t="shared" ca="1" si="102"/>
        <v>573340.53798332019</v>
      </c>
      <c r="T270" s="3">
        <f t="shared" ca="1" si="103"/>
        <v>224985.53758724878</v>
      </c>
      <c r="U270" s="5">
        <f t="shared" ca="1" si="104"/>
        <v>348355.00039607141</v>
      </c>
    </row>
    <row r="271" spans="1:21" x14ac:dyDescent="0.35">
      <c r="A271">
        <f t="shared" ca="1" si="86"/>
        <v>1</v>
      </c>
      <c r="B271" s="4" t="str">
        <f t="shared" ca="1" si="84"/>
        <v>M</v>
      </c>
      <c r="C271" s="3">
        <f t="shared" ca="1" si="87"/>
        <v>6</v>
      </c>
      <c r="D271" s="3">
        <f t="shared" ca="1" si="85"/>
        <v>44</v>
      </c>
      <c r="E271" s="3" t="str">
        <f t="shared" ca="1" si="88"/>
        <v>Art</v>
      </c>
      <c r="F271" s="3">
        <f t="shared" ca="1" si="89"/>
        <v>6</v>
      </c>
      <c r="G271" s="3" t="str">
        <f t="shared" ca="1" si="90"/>
        <v>Doctorate</v>
      </c>
      <c r="H271" s="3">
        <f t="shared" ca="1" si="91"/>
        <v>2</v>
      </c>
      <c r="I271" s="3">
        <f t="shared" ca="1" si="92"/>
        <v>2</v>
      </c>
      <c r="J271" s="3">
        <f t="shared" ca="1" si="93"/>
        <v>14</v>
      </c>
      <c r="K271" s="3" t="str">
        <f t="shared" ca="1" si="94"/>
        <v>Karnataka</v>
      </c>
      <c r="L271" s="3">
        <f t="shared" ca="1" si="95"/>
        <v>44815</v>
      </c>
      <c r="M271" s="3">
        <f t="shared" ca="1" si="96"/>
        <v>358520</v>
      </c>
      <c r="N271" s="3">
        <f t="shared" ca="1" si="97"/>
        <v>330217.59099097515</v>
      </c>
      <c r="O271" s="3">
        <f t="shared" ca="1" si="98"/>
        <v>7970.5848514549089</v>
      </c>
      <c r="P271" s="3">
        <f t="shared" ca="1" si="99"/>
        <v>7864.8645376884169</v>
      </c>
      <c r="Q271" s="3">
        <f t="shared" ca="1" si="100"/>
        <v>14486.571664386292</v>
      </c>
      <c r="R271" s="3">
        <f t="shared" ca="1" si="101"/>
        <v>28297.445466279125</v>
      </c>
      <c r="S271" s="3">
        <f t="shared" ca="1" si="102"/>
        <v>394788.030317734</v>
      </c>
      <c r="T271" s="3">
        <f t="shared" ca="1" si="103"/>
        <v>352569.0271930499</v>
      </c>
      <c r="U271" s="5">
        <f t="shared" ca="1" si="104"/>
        <v>42219.003124684095</v>
      </c>
    </row>
    <row r="272" spans="1:21" x14ac:dyDescent="0.35">
      <c r="A272">
        <f t="shared" ca="1" si="86"/>
        <v>1</v>
      </c>
      <c r="B272" s="4" t="str">
        <f t="shared" ca="1" si="84"/>
        <v>M</v>
      </c>
      <c r="C272" s="3">
        <f t="shared" ca="1" si="87"/>
        <v>7</v>
      </c>
      <c r="D272" s="3">
        <f t="shared" ca="1" si="85"/>
        <v>36</v>
      </c>
      <c r="E272" s="3" t="str">
        <f t="shared" ca="1" si="88"/>
        <v>Other</v>
      </c>
      <c r="F272" s="3">
        <f t="shared" ca="1" si="89"/>
        <v>5</v>
      </c>
      <c r="G272" s="3" t="str">
        <f t="shared" ca="1" si="90"/>
        <v>Diploma</v>
      </c>
      <c r="H272" s="3">
        <f t="shared" ca="1" si="91"/>
        <v>2</v>
      </c>
      <c r="I272" s="3">
        <f t="shared" ca="1" si="92"/>
        <v>2</v>
      </c>
      <c r="J272" s="3">
        <f t="shared" ca="1" si="93"/>
        <v>24</v>
      </c>
      <c r="K272" s="3" t="str">
        <f t="shared" ca="1" si="94"/>
        <v>Tamil Nadu</v>
      </c>
      <c r="L272" s="3">
        <f t="shared" ca="1" si="95"/>
        <v>70494</v>
      </c>
      <c r="M272" s="3">
        <f t="shared" ca="1" si="96"/>
        <v>563952</v>
      </c>
      <c r="N272" s="3">
        <f t="shared" ca="1" si="97"/>
        <v>278411.95375157881</v>
      </c>
      <c r="O272" s="3">
        <f t="shared" ca="1" si="98"/>
        <v>138151.69374684506</v>
      </c>
      <c r="P272" s="3">
        <f t="shared" ca="1" si="99"/>
        <v>23080.724461694856</v>
      </c>
      <c r="Q272" s="3">
        <f t="shared" ca="1" si="100"/>
        <v>39704.562854842006</v>
      </c>
      <c r="R272" s="3">
        <f t="shared" ca="1" si="101"/>
        <v>24338.127725843919</v>
      </c>
      <c r="S272" s="3">
        <f t="shared" ca="1" si="102"/>
        <v>726441.82147268893</v>
      </c>
      <c r="T272" s="3">
        <f t="shared" ca="1" si="103"/>
        <v>341197.24106811563</v>
      </c>
      <c r="U272" s="5">
        <f t="shared" ca="1" si="104"/>
        <v>385244.58040457329</v>
      </c>
    </row>
    <row r="273" spans="1:21" x14ac:dyDescent="0.35">
      <c r="A273">
        <f t="shared" ca="1" si="86"/>
        <v>2</v>
      </c>
      <c r="B273" s="4" t="str">
        <f t="shared" ca="1" si="84"/>
        <v>F</v>
      </c>
      <c r="C273" s="3">
        <f t="shared" ca="1" si="87"/>
        <v>5</v>
      </c>
      <c r="D273" s="3">
        <f t="shared" ca="1" si="85"/>
        <v>31</v>
      </c>
      <c r="E273" s="3" t="str">
        <f t="shared" ca="1" si="88"/>
        <v>Research</v>
      </c>
      <c r="F273" s="3">
        <f t="shared" ca="1" si="89"/>
        <v>5</v>
      </c>
      <c r="G273" s="3" t="str">
        <f t="shared" ca="1" si="90"/>
        <v>Diploma</v>
      </c>
      <c r="H273" s="3">
        <f t="shared" ca="1" si="91"/>
        <v>1</v>
      </c>
      <c r="I273" s="3">
        <f t="shared" ca="1" si="92"/>
        <v>0</v>
      </c>
      <c r="J273" s="3">
        <f t="shared" ca="1" si="93"/>
        <v>26</v>
      </c>
      <c r="K273" s="3" t="str">
        <f t="shared" ca="1" si="94"/>
        <v>Tripura</v>
      </c>
      <c r="L273" s="3">
        <f t="shared" ca="1" si="95"/>
        <v>25416</v>
      </c>
      <c r="M273" s="3">
        <f t="shared" ca="1" si="96"/>
        <v>177912</v>
      </c>
      <c r="N273" s="3">
        <f t="shared" ca="1" si="97"/>
        <v>141419.22483802075</v>
      </c>
      <c r="O273" s="3">
        <f t="shared" ca="1" si="98"/>
        <v>0</v>
      </c>
      <c r="P273" s="3">
        <f t="shared" ca="1" si="99"/>
        <v>0</v>
      </c>
      <c r="Q273" s="3">
        <f t="shared" ca="1" si="100"/>
        <v>9572.3215464962323</v>
      </c>
      <c r="R273" s="3">
        <f t="shared" ca="1" si="101"/>
        <v>14965.055175288322</v>
      </c>
      <c r="S273" s="3">
        <f t="shared" ca="1" si="102"/>
        <v>192877.05517528832</v>
      </c>
      <c r="T273" s="3">
        <f t="shared" ca="1" si="103"/>
        <v>150991.54638451699</v>
      </c>
      <c r="U273" s="5">
        <f t="shared" ca="1" si="104"/>
        <v>41885.508790771331</v>
      </c>
    </row>
    <row r="274" spans="1:21" x14ac:dyDescent="0.35">
      <c r="A274">
        <f t="shared" ca="1" si="86"/>
        <v>2</v>
      </c>
      <c r="B274" s="4" t="str">
        <f t="shared" ca="1" si="84"/>
        <v>F</v>
      </c>
      <c r="C274" s="3">
        <f t="shared" ca="1" si="87"/>
        <v>7</v>
      </c>
      <c r="D274" s="3">
        <f t="shared" ca="1" si="85"/>
        <v>19</v>
      </c>
      <c r="E274" s="3" t="str">
        <f t="shared" ca="1" si="88"/>
        <v>Other</v>
      </c>
      <c r="F274" s="3">
        <f t="shared" ca="1" si="89"/>
        <v>2</v>
      </c>
      <c r="G274" s="3" t="str">
        <f t="shared" ca="1" si="90"/>
        <v>Senior Secondary</v>
      </c>
      <c r="H274" s="3">
        <f t="shared" ca="1" si="91"/>
        <v>2</v>
      </c>
      <c r="I274" s="3">
        <f t="shared" ca="1" si="92"/>
        <v>1</v>
      </c>
      <c r="J274" s="3">
        <f t="shared" ca="1" si="93"/>
        <v>20</v>
      </c>
      <c r="K274" s="3" t="str">
        <f t="shared" ca="1" si="94"/>
        <v>Nagaland</v>
      </c>
      <c r="L274" s="3">
        <f t="shared" ca="1" si="95"/>
        <v>41008</v>
      </c>
      <c r="M274" s="3">
        <f t="shared" ca="1" si="96"/>
        <v>328064</v>
      </c>
      <c r="N274" s="3">
        <f t="shared" ca="1" si="97"/>
        <v>56951.194556641873</v>
      </c>
      <c r="O274" s="3">
        <f t="shared" ca="1" si="98"/>
        <v>6580.8980341729084</v>
      </c>
      <c r="P274" s="3">
        <f t="shared" ca="1" si="99"/>
        <v>5338.8066003682216</v>
      </c>
      <c r="Q274" s="3">
        <f t="shared" ca="1" si="100"/>
        <v>29804.495543871413</v>
      </c>
      <c r="R274" s="3">
        <f t="shared" ca="1" si="101"/>
        <v>20533.982916772875</v>
      </c>
      <c r="S274" s="3">
        <f t="shared" ca="1" si="102"/>
        <v>355178.88095094578</v>
      </c>
      <c r="T274" s="3">
        <f t="shared" ca="1" si="103"/>
        <v>92094.4967008815</v>
      </c>
      <c r="U274" s="5">
        <f t="shared" ca="1" si="104"/>
        <v>263084.38425006426</v>
      </c>
    </row>
    <row r="275" spans="1:21" x14ac:dyDescent="0.35">
      <c r="A275">
        <f t="shared" ca="1" si="86"/>
        <v>2</v>
      </c>
      <c r="B275" s="4" t="str">
        <f t="shared" ca="1" si="84"/>
        <v>F</v>
      </c>
      <c r="C275" s="3">
        <f t="shared" ca="1" si="87"/>
        <v>1</v>
      </c>
      <c r="D275" s="3">
        <f t="shared" ca="1" si="85"/>
        <v>18</v>
      </c>
      <c r="E275" s="3" t="str">
        <f t="shared" ca="1" si="88"/>
        <v>Engineering</v>
      </c>
      <c r="F275" s="3">
        <f t="shared" ca="1" si="89"/>
        <v>3</v>
      </c>
      <c r="G275" s="3" t="str">
        <f t="shared" ca="1" si="90"/>
        <v>UG</v>
      </c>
      <c r="H275" s="3">
        <f t="shared" ca="1" si="91"/>
        <v>2</v>
      </c>
      <c r="I275" s="3">
        <f t="shared" ca="1" si="92"/>
        <v>1</v>
      </c>
      <c r="J275" s="3">
        <f t="shared" ca="1" si="93"/>
        <v>10</v>
      </c>
      <c r="K275" s="3" t="str">
        <f t="shared" ca="1" si="94"/>
        <v>Gujarat</v>
      </c>
      <c r="L275" s="3">
        <f t="shared" ca="1" si="95"/>
        <v>91727</v>
      </c>
      <c r="M275" s="3">
        <f t="shared" ca="1" si="96"/>
        <v>458635</v>
      </c>
      <c r="N275" s="3">
        <f t="shared" ca="1" si="97"/>
        <v>68133.156607362471</v>
      </c>
      <c r="O275" s="3">
        <f t="shared" ca="1" si="98"/>
        <v>90483.279506907289</v>
      </c>
      <c r="P275" s="3">
        <f t="shared" ca="1" si="99"/>
        <v>46474.172931667235</v>
      </c>
      <c r="Q275" s="3">
        <f t="shared" ca="1" si="100"/>
        <v>56186.622200202786</v>
      </c>
      <c r="R275" s="3">
        <f t="shared" ca="1" si="101"/>
        <v>39135.911524432333</v>
      </c>
      <c r="S275" s="3">
        <f t="shared" ca="1" si="102"/>
        <v>588254.19103133969</v>
      </c>
      <c r="T275" s="3">
        <f t="shared" ca="1" si="103"/>
        <v>170793.95173923249</v>
      </c>
      <c r="U275" s="5">
        <f t="shared" ca="1" si="104"/>
        <v>417460.23929210717</v>
      </c>
    </row>
    <row r="276" spans="1:21" x14ac:dyDescent="0.35">
      <c r="A276">
        <f t="shared" ca="1" si="86"/>
        <v>2</v>
      </c>
      <c r="B276" s="4" t="str">
        <f t="shared" ca="1" si="84"/>
        <v>F</v>
      </c>
      <c r="C276" s="3">
        <f t="shared" ca="1" si="87"/>
        <v>4</v>
      </c>
      <c r="D276" s="3">
        <f t="shared" ca="1" si="85"/>
        <v>20</v>
      </c>
      <c r="E276" s="3" t="str">
        <f t="shared" ca="1" si="88"/>
        <v>Accounting</v>
      </c>
      <c r="F276" s="3">
        <f t="shared" ca="1" si="89"/>
        <v>4</v>
      </c>
      <c r="G276" s="3" t="str">
        <f t="shared" ca="1" si="90"/>
        <v>PG</v>
      </c>
      <c r="H276" s="3">
        <f t="shared" ca="1" si="91"/>
        <v>1</v>
      </c>
      <c r="I276" s="3">
        <f t="shared" ca="1" si="92"/>
        <v>3</v>
      </c>
      <c r="J276" s="3">
        <f t="shared" ca="1" si="93"/>
        <v>18</v>
      </c>
      <c r="K276" s="3" t="str">
        <f t="shared" ca="1" si="94"/>
        <v>Meghalya</v>
      </c>
      <c r="L276" s="3">
        <f t="shared" ca="1" si="95"/>
        <v>75055</v>
      </c>
      <c r="M276" s="3">
        <f t="shared" ca="1" si="96"/>
        <v>675495</v>
      </c>
      <c r="N276" s="3">
        <f t="shared" ca="1" si="97"/>
        <v>160858.09536172083</v>
      </c>
      <c r="O276" s="3">
        <f t="shared" ca="1" si="98"/>
        <v>42025.424237285508</v>
      </c>
      <c r="P276" s="3">
        <f t="shared" ca="1" si="99"/>
        <v>21031.623821359295</v>
      </c>
      <c r="Q276" s="3">
        <f t="shared" ca="1" si="100"/>
        <v>28419.766545021394</v>
      </c>
      <c r="R276" s="3">
        <f t="shared" ca="1" si="101"/>
        <v>50435.773253136431</v>
      </c>
      <c r="S276" s="3">
        <f t="shared" ca="1" si="102"/>
        <v>767956.19749042194</v>
      </c>
      <c r="T276" s="3">
        <f t="shared" ca="1" si="103"/>
        <v>210309.48572810151</v>
      </c>
      <c r="U276" s="5">
        <f t="shared" ca="1" si="104"/>
        <v>557646.71176232048</v>
      </c>
    </row>
    <row r="277" spans="1:21" x14ac:dyDescent="0.35">
      <c r="A277">
        <f t="shared" ca="1" si="86"/>
        <v>2</v>
      </c>
      <c r="B277" s="4" t="str">
        <f t="shared" ca="1" si="84"/>
        <v>F</v>
      </c>
      <c r="C277" s="3">
        <f t="shared" ca="1" si="87"/>
        <v>3</v>
      </c>
      <c r="D277" s="3">
        <f t="shared" ca="1" si="85"/>
        <v>40</v>
      </c>
      <c r="E277" s="3" t="str">
        <f t="shared" ca="1" si="88"/>
        <v>IT</v>
      </c>
      <c r="F277" s="3">
        <f t="shared" ca="1" si="89"/>
        <v>4</v>
      </c>
      <c r="G277" s="3" t="str">
        <f t="shared" ca="1" si="90"/>
        <v>PG</v>
      </c>
      <c r="H277" s="3">
        <f t="shared" ca="1" si="91"/>
        <v>2</v>
      </c>
      <c r="I277" s="3">
        <f t="shared" ca="1" si="92"/>
        <v>0</v>
      </c>
      <c r="J277" s="3">
        <f t="shared" ca="1" si="93"/>
        <v>20</v>
      </c>
      <c r="K277" s="3" t="str">
        <f t="shared" ca="1" si="94"/>
        <v>Nagaland</v>
      </c>
      <c r="L277" s="3">
        <f t="shared" ca="1" si="95"/>
        <v>76305</v>
      </c>
      <c r="M277" s="3">
        <f t="shared" ca="1" si="96"/>
        <v>610440</v>
      </c>
      <c r="N277" s="3">
        <f t="shared" ca="1" si="97"/>
        <v>439706.0313886081</v>
      </c>
      <c r="O277" s="3">
        <f t="shared" ca="1" si="98"/>
        <v>0</v>
      </c>
      <c r="P277" s="3">
        <f t="shared" ca="1" si="99"/>
        <v>0</v>
      </c>
      <c r="Q277" s="3">
        <f t="shared" ca="1" si="100"/>
        <v>13021.109269472334</v>
      </c>
      <c r="R277" s="3">
        <f t="shared" ca="1" si="101"/>
        <v>45429.47311127172</v>
      </c>
      <c r="S277" s="3">
        <f t="shared" ca="1" si="102"/>
        <v>655869.47311127174</v>
      </c>
      <c r="T277" s="3">
        <f t="shared" ca="1" si="103"/>
        <v>452727.14065808046</v>
      </c>
      <c r="U277" s="5">
        <f t="shared" ca="1" si="104"/>
        <v>203142.33245319128</v>
      </c>
    </row>
    <row r="278" spans="1:21" x14ac:dyDescent="0.35">
      <c r="A278">
        <f t="shared" ca="1" si="86"/>
        <v>1</v>
      </c>
      <c r="B278" s="4" t="str">
        <f t="shared" ca="1" si="84"/>
        <v>M</v>
      </c>
      <c r="C278" s="3">
        <f t="shared" ca="1" si="87"/>
        <v>3</v>
      </c>
      <c r="D278" s="3">
        <f t="shared" ca="1" si="85"/>
        <v>21</v>
      </c>
      <c r="E278" s="3" t="str">
        <f t="shared" ca="1" si="88"/>
        <v>IT</v>
      </c>
      <c r="F278" s="3">
        <f t="shared" ca="1" si="89"/>
        <v>6</v>
      </c>
      <c r="G278" s="3" t="str">
        <f t="shared" ca="1" si="90"/>
        <v>Doctorate</v>
      </c>
      <c r="H278" s="3">
        <f t="shared" ca="1" si="91"/>
        <v>4</v>
      </c>
      <c r="I278" s="3">
        <f t="shared" ca="1" si="92"/>
        <v>0</v>
      </c>
      <c r="J278" s="3">
        <f t="shared" ca="1" si="93"/>
        <v>16</v>
      </c>
      <c r="K278" s="3" t="str">
        <f t="shared" ca="1" si="94"/>
        <v>Madhya Pradesh</v>
      </c>
      <c r="L278" s="3">
        <f t="shared" ca="1" si="95"/>
        <v>84050</v>
      </c>
      <c r="M278" s="3">
        <f t="shared" ca="1" si="96"/>
        <v>672400</v>
      </c>
      <c r="N278" s="3">
        <f t="shared" ca="1" si="97"/>
        <v>562514.12380525726</v>
      </c>
      <c r="O278" s="3">
        <f t="shared" ca="1" si="98"/>
        <v>0</v>
      </c>
      <c r="P278" s="3">
        <f t="shared" ca="1" si="99"/>
        <v>0</v>
      </c>
      <c r="Q278" s="3">
        <f t="shared" ca="1" si="100"/>
        <v>2436.3304839562743</v>
      </c>
      <c r="R278" s="3">
        <f t="shared" ca="1" si="101"/>
        <v>25505.67558326104</v>
      </c>
      <c r="S278" s="3">
        <f t="shared" ca="1" si="102"/>
        <v>697905.67558326107</v>
      </c>
      <c r="T278" s="3">
        <f t="shared" ca="1" si="103"/>
        <v>564950.45428921352</v>
      </c>
      <c r="U278" s="5">
        <f t="shared" ca="1" si="104"/>
        <v>132955.22129404754</v>
      </c>
    </row>
    <row r="279" spans="1:21" x14ac:dyDescent="0.35">
      <c r="A279">
        <f t="shared" ca="1" si="86"/>
        <v>2</v>
      </c>
      <c r="B279" s="4" t="str">
        <f t="shared" ca="1" si="84"/>
        <v>F</v>
      </c>
      <c r="C279" s="3">
        <f t="shared" ca="1" si="87"/>
        <v>7</v>
      </c>
      <c r="D279" s="3">
        <f t="shared" ca="1" si="85"/>
        <v>18</v>
      </c>
      <c r="E279" s="3" t="str">
        <f t="shared" ca="1" si="88"/>
        <v>Other</v>
      </c>
      <c r="F279" s="3">
        <f t="shared" ca="1" si="89"/>
        <v>3</v>
      </c>
      <c r="G279" s="3" t="str">
        <f t="shared" ca="1" si="90"/>
        <v>UG</v>
      </c>
      <c r="H279" s="3">
        <f t="shared" ca="1" si="91"/>
        <v>2</v>
      </c>
      <c r="I279" s="3">
        <f t="shared" ca="1" si="92"/>
        <v>3</v>
      </c>
      <c r="J279" s="3">
        <f t="shared" ca="1" si="93"/>
        <v>19</v>
      </c>
      <c r="K279" s="3" t="str">
        <f t="shared" ca="1" si="94"/>
        <v>Mizoram</v>
      </c>
      <c r="L279" s="3">
        <f t="shared" ca="1" si="95"/>
        <v>57721</v>
      </c>
      <c r="M279" s="3">
        <f t="shared" ca="1" si="96"/>
        <v>461768</v>
      </c>
      <c r="N279" s="3">
        <f t="shared" ca="1" si="97"/>
        <v>130142.68575293396</v>
      </c>
      <c r="O279" s="3">
        <f t="shared" ca="1" si="98"/>
        <v>90743.825114068619</v>
      </c>
      <c r="P279" s="3">
        <f t="shared" ca="1" si="99"/>
        <v>64386.447058163991</v>
      </c>
      <c r="Q279" s="3">
        <f t="shared" ca="1" si="100"/>
        <v>49767.683885923063</v>
      </c>
      <c r="R279" s="3">
        <f t="shared" ca="1" si="101"/>
        <v>10808.749481986359</v>
      </c>
      <c r="S279" s="3">
        <f t="shared" ca="1" si="102"/>
        <v>563320.57459605497</v>
      </c>
      <c r="T279" s="3">
        <f t="shared" ca="1" si="103"/>
        <v>244296.81669702101</v>
      </c>
      <c r="U279" s="5">
        <f t="shared" ca="1" si="104"/>
        <v>319023.75789903395</v>
      </c>
    </row>
    <row r="280" spans="1:21" x14ac:dyDescent="0.35">
      <c r="A280">
        <f t="shared" ca="1" si="86"/>
        <v>1</v>
      </c>
      <c r="B280" s="4" t="str">
        <f t="shared" ca="1" si="84"/>
        <v>M</v>
      </c>
      <c r="C280" s="3">
        <f t="shared" ca="1" si="87"/>
        <v>7</v>
      </c>
      <c r="D280" s="3">
        <f t="shared" ca="1" si="85"/>
        <v>44</v>
      </c>
      <c r="E280" s="3" t="str">
        <f t="shared" ca="1" si="88"/>
        <v>Other</v>
      </c>
      <c r="F280" s="3">
        <f t="shared" ca="1" si="89"/>
        <v>2</v>
      </c>
      <c r="G280" s="3" t="str">
        <f t="shared" ca="1" si="90"/>
        <v>Senior Secondary</v>
      </c>
      <c r="H280" s="3">
        <f t="shared" ca="1" si="91"/>
        <v>0</v>
      </c>
      <c r="I280" s="3">
        <f t="shared" ca="1" si="92"/>
        <v>1</v>
      </c>
      <c r="J280" s="3">
        <f t="shared" ca="1" si="93"/>
        <v>20</v>
      </c>
      <c r="K280" s="3" t="str">
        <f t="shared" ca="1" si="94"/>
        <v>Nagaland</v>
      </c>
      <c r="L280" s="3">
        <f t="shared" ca="1" si="95"/>
        <v>46584</v>
      </c>
      <c r="M280" s="3">
        <f t="shared" ca="1" si="96"/>
        <v>232920</v>
      </c>
      <c r="N280" s="3">
        <f t="shared" ca="1" si="97"/>
        <v>225466.40066080372</v>
      </c>
      <c r="O280" s="3">
        <f t="shared" ca="1" si="98"/>
        <v>16775.30864277259</v>
      </c>
      <c r="P280" s="3">
        <f t="shared" ca="1" si="99"/>
        <v>8427.8557292727473</v>
      </c>
      <c r="Q280" s="3">
        <f t="shared" ca="1" si="100"/>
        <v>27554.564763215993</v>
      </c>
      <c r="R280" s="3">
        <f t="shared" ca="1" si="101"/>
        <v>39132.042040064458</v>
      </c>
      <c r="S280" s="3">
        <f t="shared" ca="1" si="102"/>
        <v>288827.35068283702</v>
      </c>
      <c r="T280" s="3">
        <f t="shared" ca="1" si="103"/>
        <v>261448.82115329243</v>
      </c>
      <c r="U280" s="5">
        <f t="shared" ca="1" si="104"/>
        <v>27378.529529544583</v>
      </c>
    </row>
    <row r="281" spans="1:21" x14ac:dyDescent="0.35">
      <c r="A281">
        <f t="shared" ca="1" si="86"/>
        <v>2</v>
      </c>
      <c r="B281" s="4" t="str">
        <f t="shared" ca="1" si="84"/>
        <v>F</v>
      </c>
      <c r="C281" s="3">
        <f t="shared" ca="1" si="87"/>
        <v>4</v>
      </c>
      <c r="D281" s="3">
        <f t="shared" ca="1" si="85"/>
        <v>45</v>
      </c>
      <c r="E281" s="3" t="str">
        <f t="shared" ca="1" si="88"/>
        <v>Accounting</v>
      </c>
      <c r="F281" s="3">
        <f t="shared" ca="1" si="89"/>
        <v>3</v>
      </c>
      <c r="G281" s="3" t="str">
        <f t="shared" ca="1" si="90"/>
        <v>UG</v>
      </c>
      <c r="H281" s="3">
        <f t="shared" ca="1" si="91"/>
        <v>2</v>
      </c>
      <c r="I281" s="3">
        <f t="shared" ca="1" si="92"/>
        <v>0</v>
      </c>
      <c r="J281" s="3">
        <f t="shared" ca="1" si="93"/>
        <v>13</v>
      </c>
      <c r="K281" s="3" t="str">
        <f t="shared" ca="1" si="94"/>
        <v>Jharkhand</v>
      </c>
      <c r="L281" s="3">
        <f t="shared" ca="1" si="95"/>
        <v>45061</v>
      </c>
      <c r="M281" s="3">
        <f t="shared" ca="1" si="96"/>
        <v>360488</v>
      </c>
      <c r="N281" s="3">
        <f t="shared" ca="1" si="97"/>
        <v>186866.53624751038</v>
      </c>
      <c r="O281" s="3">
        <f t="shared" ca="1" si="98"/>
        <v>0</v>
      </c>
      <c r="P281" s="3">
        <f t="shared" ca="1" si="99"/>
        <v>0</v>
      </c>
      <c r="Q281" s="3">
        <f t="shared" ca="1" si="100"/>
        <v>29004.491028525608</v>
      </c>
      <c r="R281" s="3">
        <f t="shared" ca="1" si="101"/>
        <v>27204.299741178609</v>
      </c>
      <c r="S281" s="3">
        <f t="shared" ca="1" si="102"/>
        <v>387692.29974117863</v>
      </c>
      <c r="T281" s="3">
        <f t="shared" ca="1" si="103"/>
        <v>215871.02727603598</v>
      </c>
      <c r="U281" s="5">
        <f t="shared" ca="1" si="104"/>
        <v>171821.27246514265</v>
      </c>
    </row>
    <row r="282" spans="1:21" x14ac:dyDescent="0.35">
      <c r="A282">
        <f t="shared" ca="1" si="86"/>
        <v>1</v>
      </c>
      <c r="B282" s="4" t="str">
        <f t="shared" ca="1" si="84"/>
        <v>M</v>
      </c>
      <c r="C282" s="3">
        <f t="shared" ca="1" si="87"/>
        <v>6</v>
      </c>
      <c r="D282" s="3">
        <f t="shared" ca="1" si="85"/>
        <v>25</v>
      </c>
      <c r="E282" s="3" t="str">
        <f t="shared" ca="1" si="88"/>
        <v>Art</v>
      </c>
      <c r="F282" s="3">
        <f t="shared" ca="1" si="89"/>
        <v>1</v>
      </c>
      <c r="G282" s="3" t="str">
        <f t="shared" ca="1" si="90"/>
        <v>Secondary</v>
      </c>
      <c r="H282" s="3">
        <f t="shared" ca="1" si="91"/>
        <v>0</v>
      </c>
      <c r="I282" s="3">
        <f t="shared" ca="1" si="92"/>
        <v>3</v>
      </c>
      <c r="J282" s="3">
        <f t="shared" ca="1" si="93"/>
        <v>17</v>
      </c>
      <c r="K282" s="3" t="str">
        <f t="shared" ca="1" si="94"/>
        <v xml:space="preserve">Manipur </v>
      </c>
      <c r="L282" s="3">
        <f t="shared" ca="1" si="95"/>
        <v>53228</v>
      </c>
      <c r="M282" s="3">
        <f t="shared" ca="1" si="96"/>
        <v>372596</v>
      </c>
      <c r="N282" s="3">
        <f t="shared" ca="1" si="97"/>
        <v>340422.22132312192</v>
      </c>
      <c r="O282" s="3">
        <f t="shared" ca="1" si="98"/>
        <v>56846.326943471031</v>
      </c>
      <c r="P282" s="3">
        <f t="shared" ca="1" si="99"/>
        <v>533.76260160364291</v>
      </c>
      <c r="Q282" s="3">
        <f t="shared" ca="1" si="100"/>
        <v>7229.4764397065856</v>
      </c>
      <c r="R282" s="3">
        <f t="shared" ca="1" si="101"/>
        <v>20200.425983241752</v>
      </c>
      <c r="S282" s="3">
        <f t="shared" ca="1" si="102"/>
        <v>449642.7529267128</v>
      </c>
      <c r="T282" s="3">
        <f t="shared" ca="1" si="103"/>
        <v>348185.46036443213</v>
      </c>
      <c r="U282" s="5">
        <f t="shared" ca="1" si="104"/>
        <v>101457.29256228067</v>
      </c>
    </row>
    <row r="283" spans="1:21" x14ac:dyDescent="0.35">
      <c r="A283">
        <f t="shared" ca="1" si="86"/>
        <v>2</v>
      </c>
      <c r="B283" s="4" t="str">
        <f t="shared" ca="1" si="84"/>
        <v>F</v>
      </c>
      <c r="C283" s="3">
        <f t="shared" ca="1" si="87"/>
        <v>5</v>
      </c>
      <c r="D283" s="3">
        <f t="shared" ca="1" si="85"/>
        <v>23</v>
      </c>
      <c r="E283" s="3" t="str">
        <f t="shared" ca="1" si="88"/>
        <v>Research</v>
      </c>
      <c r="F283" s="3">
        <f t="shared" ca="1" si="89"/>
        <v>2</v>
      </c>
      <c r="G283" s="3" t="str">
        <f t="shared" ca="1" si="90"/>
        <v>Senior Secondary</v>
      </c>
      <c r="H283" s="3">
        <f t="shared" ca="1" si="91"/>
        <v>1</v>
      </c>
      <c r="I283" s="3">
        <f t="shared" ca="1" si="92"/>
        <v>3</v>
      </c>
      <c r="J283" s="3">
        <f t="shared" ca="1" si="93"/>
        <v>5</v>
      </c>
      <c r="K283" s="3" t="str">
        <f t="shared" ca="1" si="94"/>
        <v>Andhra Pradesh</v>
      </c>
      <c r="L283" s="3">
        <f t="shared" ca="1" si="95"/>
        <v>85532</v>
      </c>
      <c r="M283" s="3">
        <f t="shared" ca="1" si="96"/>
        <v>427660</v>
      </c>
      <c r="N283" s="3">
        <f t="shared" ca="1" si="97"/>
        <v>291091.44062395982</v>
      </c>
      <c r="O283" s="3">
        <f t="shared" ca="1" si="98"/>
        <v>98465.718070957169</v>
      </c>
      <c r="P283" s="3">
        <f t="shared" ca="1" si="99"/>
        <v>81177.915157593787</v>
      </c>
      <c r="Q283" s="3">
        <f t="shared" ca="1" si="100"/>
        <v>24260.68320132705</v>
      </c>
      <c r="R283" s="3">
        <f t="shared" ca="1" si="101"/>
        <v>31505.060037546009</v>
      </c>
      <c r="S283" s="3">
        <f t="shared" ca="1" si="102"/>
        <v>557630.77810850309</v>
      </c>
      <c r="T283" s="3">
        <f t="shared" ca="1" si="103"/>
        <v>396530.03898288065</v>
      </c>
      <c r="U283" s="5">
        <f t="shared" ca="1" si="104"/>
        <v>161100.73912562244</v>
      </c>
    </row>
    <row r="284" spans="1:21" x14ac:dyDescent="0.35">
      <c r="A284">
        <f t="shared" ca="1" si="86"/>
        <v>2</v>
      </c>
      <c r="B284" s="4" t="str">
        <f t="shared" ca="1" si="84"/>
        <v>F</v>
      </c>
      <c r="C284" s="3">
        <f t="shared" ca="1" si="87"/>
        <v>4</v>
      </c>
      <c r="D284" s="3">
        <f t="shared" ca="1" si="85"/>
        <v>44</v>
      </c>
      <c r="E284" s="3" t="str">
        <f t="shared" ca="1" si="88"/>
        <v>Accounting</v>
      </c>
      <c r="F284" s="3">
        <f t="shared" ca="1" si="89"/>
        <v>2</v>
      </c>
      <c r="G284" s="3" t="str">
        <f t="shared" ca="1" si="90"/>
        <v>Senior Secondary</v>
      </c>
      <c r="H284" s="3">
        <f t="shared" ca="1" si="91"/>
        <v>4</v>
      </c>
      <c r="I284" s="3">
        <f t="shared" ca="1" si="92"/>
        <v>2</v>
      </c>
      <c r="J284" s="3">
        <f t="shared" ca="1" si="93"/>
        <v>14</v>
      </c>
      <c r="K284" s="3" t="str">
        <f t="shared" ca="1" si="94"/>
        <v>Karnataka</v>
      </c>
      <c r="L284" s="3">
        <f t="shared" ca="1" si="95"/>
        <v>49736</v>
      </c>
      <c r="M284" s="3">
        <f t="shared" ca="1" si="96"/>
        <v>248680</v>
      </c>
      <c r="N284" s="3">
        <f t="shared" ca="1" si="97"/>
        <v>241255.31987210998</v>
      </c>
      <c r="O284" s="3">
        <f t="shared" ca="1" si="98"/>
        <v>96260.496082386249</v>
      </c>
      <c r="P284" s="3">
        <f t="shared" ca="1" si="99"/>
        <v>55878.995900857168</v>
      </c>
      <c r="Q284" s="3">
        <f t="shared" ca="1" si="100"/>
        <v>23921.793492301716</v>
      </c>
      <c r="R284" s="3">
        <f t="shared" ca="1" si="101"/>
        <v>45787.016272832829</v>
      </c>
      <c r="S284" s="3">
        <f t="shared" ca="1" si="102"/>
        <v>390727.51235521905</v>
      </c>
      <c r="T284" s="3">
        <f t="shared" ca="1" si="103"/>
        <v>321056.10926526884</v>
      </c>
      <c r="U284" s="5">
        <f t="shared" ca="1" si="104"/>
        <v>69671.40308995021</v>
      </c>
    </row>
    <row r="285" spans="1:21" x14ac:dyDescent="0.35">
      <c r="A285">
        <f t="shared" ca="1" si="86"/>
        <v>2</v>
      </c>
      <c r="B285" s="4" t="str">
        <f t="shared" ca="1" si="84"/>
        <v>F</v>
      </c>
      <c r="C285" s="3">
        <f t="shared" ca="1" si="87"/>
        <v>7</v>
      </c>
      <c r="D285" s="3">
        <f t="shared" ca="1" si="85"/>
        <v>42</v>
      </c>
      <c r="E285" s="3" t="str">
        <f t="shared" ca="1" si="88"/>
        <v>Other</v>
      </c>
      <c r="F285" s="3">
        <f t="shared" ca="1" si="89"/>
        <v>7</v>
      </c>
      <c r="G285" s="3" t="str">
        <f t="shared" ca="1" si="90"/>
        <v>Other</v>
      </c>
      <c r="H285" s="3">
        <f t="shared" ca="1" si="91"/>
        <v>1</v>
      </c>
      <c r="I285" s="3">
        <f t="shared" ca="1" si="92"/>
        <v>1</v>
      </c>
      <c r="J285" s="3">
        <f t="shared" ca="1" si="93"/>
        <v>26</v>
      </c>
      <c r="K285" s="3" t="str">
        <f t="shared" ca="1" si="94"/>
        <v>Tripura</v>
      </c>
      <c r="L285" s="3">
        <f t="shared" ca="1" si="95"/>
        <v>40510</v>
      </c>
      <c r="M285" s="3">
        <f t="shared" ca="1" si="96"/>
        <v>324080</v>
      </c>
      <c r="N285" s="3">
        <f t="shared" ca="1" si="97"/>
        <v>163492.1112844295</v>
      </c>
      <c r="O285" s="3">
        <f t="shared" ca="1" si="98"/>
        <v>22102.535326079924</v>
      </c>
      <c r="P285" s="3">
        <f t="shared" ca="1" si="99"/>
        <v>16276.306568889649</v>
      </c>
      <c r="Q285" s="3">
        <f t="shared" ca="1" si="100"/>
        <v>12844.389353946844</v>
      </c>
      <c r="R285" s="3">
        <f t="shared" ca="1" si="101"/>
        <v>11117.795961486239</v>
      </c>
      <c r="S285" s="3">
        <f t="shared" ca="1" si="102"/>
        <v>357300.33128756616</v>
      </c>
      <c r="T285" s="3">
        <f t="shared" ca="1" si="103"/>
        <v>192612.80720726599</v>
      </c>
      <c r="U285" s="5">
        <f t="shared" ca="1" si="104"/>
        <v>164687.52408030018</v>
      </c>
    </row>
    <row r="286" spans="1:21" x14ac:dyDescent="0.35">
      <c r="A286">
        <f t="shared" ca="1" si="86"/>
        <v>1</v>
      </c>
      <c r="B286" s="4" t="str">
        <f t="shared" ca="1" si="84"/>
        <v>M</v>
      </c>
      <c r="C286" s="3">
        <f t="shared" ca="1" si="87"/>
        <v>2</v>
      </c>
      <c r="D286" s="3">
        <f t="shared" ca="1" si="85"/>
        <v>41</v>
      </c>
      <c r="E286" s="3" t="str">
        <f t="shared" ca="1" si="88"/>
        <v>Healthcare</v>
      </c>
      <c r="F286" s="3">
        <f t="shared" ca="1" si="89"/>
        <v>1</v>
      </c>
      <c r="G286" s="3" t="str">
        <f t="shared" ca="1" si="90"/>
        <v>Secondary</v>
      </c>
      <c r="H286" s="3">
        <f t="shared" ca="1" si="91"/>
        <v>0</v>
      </c>
      <c r="I286" s="3">
        <f t="shared" ca="1" si="92"/>
        <v>3</v>
      </c>
      <c r="J286" s="3">
        <f t="shared" ca="1" si="93"/>
        <v>11</v>
      </c>
      <c r="K286" s="3" t="str">
        <f t="shared" ca="1" si="94"/>
        <v>Goa</v>
      </c>
      <c r="L286" s="3">
        <f t="shared" ca="1" si="95"/>
        <v>93072</v>
      </c>
      <c r="M286" s="3">
        <f t="shared" ca="1" si="96"/>
        <v>465360</v>
      </c>
      <c r="N286" s="3">
        <f t="shared" ca="1" si="97"/>
        <v>3653.0231866042964</v>
      </c>
      <c r="O286" s="3">
        <f t="shared" ca="1" si="98"/>
        <v>99950.199712937218</v>
      </c>
      <c r="P286" s="3">
        <f t="shared" ca="1" si="99"/>
        <v>37877.252176833499</v>
      </c>
      <c r="Q286" s="3">
        <f t="shared" ca="1" si="100"/>
        <v>80232.002396222073</v>
      </c>
      <c r="R286" s="3">
        <f t="shared" ca="1" si="101"/>
        <v>43894.330994917429</v>
      </c>
      <c r="S286" s="3">
        <f t="shared" ca="1" si="102"/>
        <v>609204.53070785466</v>
      </c>
      <c r="T286" s="3">
        <f t="shared" ca="1" si="103"/>
        <v>121762.27775965986</v>
      </c>
      <c r="U286" s="5">
        <f t="shared" ca="1" si="104"/>
        <v>487442.2529481948</v>
      </c>
    </row>
    <row r="287" spans="1:21" x14ac:dyDescent="0.35">
      <c r="A287">
        <f t="shared" ca="1" si="86"/>
        <v>1</v>
      </c>
      <c r="B287" s="4" t="str">
        <f t="shared" ca="1" si="84"/>
        <v>M</v>
      </c>
      <c r="C287" s="3">
        <f t="shared" ca="1" si="87"/>
        <v>1</v>
      </c>
      <c r="D287" s="3">
        <f t="shared" ca="1" si="85"/>
        <v>18</v>
      </c>
      <c r="E287" s="3" t="str">
        <f t="shared" ca="1" si="88"/>
        <v>Engineering</v>
      </c>
      <c r="F287" s="3">
        <f t="shared" ca="1" si="89"/>
        <v>5</v>
      </c>
      <c r="G287" s="3" t="str">
        <f t="shared" ca="1" si="90"/>
        <v>Diploma</v>
      </c>
      <c r="H287" s="3">
        <f t="shared" ca="1" si="91"/>
        <v>4</v>
      </c>
      <c r="I287" s="3">
        <f t="shared" ca="1" si="92"/>
        <v>3</v>
      </c>
      <c r="J287" s="3">
        <f t="shared" ca="1" si="93"/>
        <v>23</v>
      </c>
      <c r="K287" s="3" t="str">
        <f t="shared" ca="1" si="94"/>
        <v>Sikkim</v>
      </c>
      <c r="L287" s="3">
        <f t="shared" ca="1" si="95"/>
        <v>80509</v>
      </c>
      <c r="M287" s="3">
        <f t="shared" ca="1" si="96"/>
        <v>402545</v>
      </c>
      <c r="N287" s="3">
        <f t="shared" ca="1" si="97"/>
        <v>338866.51591385464</v>
      </c>
      <c r="O287" s="3">
        <f t="shared" ca="1" si="98"/>
        <v>55260.328342463552</v>
      </c>
      <c r="P287" s="3">
        <f t="shared" ca="1" si="99"/>
        <v>48747.801353685143</v>
      </c>
      <c r="Q287" s="3">
        <f t="shared" ca="1" si="100"/>
        <v>74249.904164103064</v>
      </c>
      <c r="R287" s="3">
        <f t="shared" ca="1" si="101"/>
        <v>28785.989285753287</v>
      </c>
      <c r="S287" s="3">
        <f t="shared" ca="1" si="102"/>
        <v>486591.31762821681</v>
      </c>
      <c r="T287" s="3">
        <f t="shared" ca="1" si="103"/>
        <v>461864.22143164289</v>
      </c>
      <c r="U287" s="5">
        <f t="shared" ca="1" si="104"/>
        <v>24727.096196573926</v>
      </c>
    </row>
    <row r="288" spans="1:21" x14ac:dyDescent="0.35">
      <c r="A288">
        <f t="shared" ca="1" si="86"/>
        <v>1</v>
      </c>
      <c r="B288" s="4" t="str">
        <f t="shared" ca="1" si="84"/>
        <v>M</v>
      </c>
      <c r="C288" s="3">
        <f t="shared" ca="1" si="87"/>
        <v>5</v>
      </c>
      <c r="D288" s="3">
        <f t="shared" ca="1" si="85"/>
        <v>39</v>
      </c>
      <c r="E288" s="3" t="str">
        <f t="shared" ca="1" si="88"/>
        <v>Research</v>
      </c>
      <c r="F288" s="3">
        <f t="shared" ca="1" si="89"/>
        <v>3</v>
      </c>
      <c r="G288" s="3" t="str">
        <f t="shared" ca="1" si="90"/>
        <v>UG</v>
      </c>
      <c r="H288" s="3">
        <f t="shared" ca="1" si="91"/>
        <v>2</v>
      </c>
      <c r="I288" s="3">
        <f t="shared" ca="1" si="92"/>
        <v>2</v>
      </c>
      <c r="J288" s="3">
        <f t="shared" ca="1" si="93"/>
        <v>6</v>
      </c>
      <c r="K288" s="3" t="str">
        <f t="shared" ca="1" si="94"/>
        <v>Arunachal Pradesh</v>
      </c>
      <c r="L288" s="3">
        <f t="shared" ca="1" si="95"/>
        <v>95028</v>
      </c>
      <c r="M288" s="3">
        <f t="shared" ca="1" si="96"/>
        <v>855252</v>
      </c>
      <c r="N288" s="3">
        <f t="shared" ca="1" si="97"/>
        <v>588883.46744018083</v>
      </c>
      <c r="O288" s="3">
        <f t="shared" ca="1" si="98"/>
        <v>75977.374338861337</v>
      </c>
      <c r="P288" s="3">
        <f t="shared" ca="1" si="99"/>
        <v>66668.173376143721</v>
      </c>
      <c r="Q288" s="3">
        <f t="shared" ca="1" si="100"/>
        <v>76450.076633149525</v>
      </c>
      <c r="R288" s="3">
        <f t="shared" ca="1" si="101"/>
        <v>84183.018370997204</v>
      </c>
      <c r="S288" s="3">
        <f t="shared" ca="1" si="102"/>
        <v>1015412.3927098585</v>
      </c>
      <c r="T288" s="3">
        <f t="shared" ca="1" si="103"/>
        <v>732001.71744947403</v>
      </c>
      <c r="U288" s="5">
        <f t="shared" ca="1" si="104"/>
        <v>283410.67526038445</v>
      </c>
    </row>
    <row r="289" spans="1:21" x14ac:dyDescent="0.35">
      <c r="A289">
        <f t="shared" ca="1" si="86"/>
        <v>1</v>
      </c>
      <c r="B289" s="4" t="str">
        <f t="shared" ca="1" si="84"/>
        <v>M</v>
      </c>
      <c r="C289" s="3">
        <f t="shared" ca="1" si="87"/>
        <v>4</v>
      </c>
      <c r="D289" s="3">
        <f t="shared" ca="1" si="85"/>
        <v>24</v>
      </c>
      <c r="E289" s="3" t="str">
        <f t="shared" ca="1" si="88"/>
        <v>Accounting</v>
      </c>
      <c r="F289" s="3">
        <f t="shared" ca="1" si="89"/>
        <v>3</v>
      </c>
      <c r="G289" s="3" t="str">
        <f t="shared" ca="1" si="90"/>
        <v>UG</v>
      </c>
      <c r="H289" s="3">
        <f t="shared" ca="1" si="91"/>
        <v>2</v>
      </c>
      <c r="I289" s="3">
        <f t="shared" ca="1" si="92"/>
        <v>2</v>
      </c>
      <c r="J289" s="3">
        <f t="shared" ca="1" si="93"/>
        <v>26</v>
      </c>
      <c r="K289" s="3" t="str">
        <f t="shared" ca="1" si="94"/>
        <v>Tripura</v>
      </c>
      <c r="L289" s="3">
        <f t="shared" ca="1" si="95"/>
        <v>79076</v>
      </c>
      <c r="M289" s="3">
        <f t="shared" ca="1" si="96"/>
        <v>474456</v>
      </c>
      <c r="N289" s="3">
        <f t="shared" ca="1" si="97"/>
        <v>102079.59514032881</v>
      </c>
      <c r="O289" s="3">
        <f t="shared" ca="1" si="98"/>
        <v>8217.7097976172336</v>
      </c>
      <c r="P289" s="3">
        <f t="shared" ca="1" si="99"/>
        <v>3207.6885622057448</v>
      </c>
      <c r="Q289" s="3">
        <f t="shared" ca="1" si="100"/>
        <v>41150.560158673274</v>
      </c>
      <c r="R289" s="3">
        <f t="shared" ca="1" si="101"/>
        <v>12795.739080188654</v>
      </c>
      <c r="S289" s="3">
        <f t="shared" ca="1" si="102"/>
        <v>495469.4488778059</v>
      </c>
      <c r="T289" s="3">
        <f t="shared" ca="1" si="103"/>
        <v>146437.84386120783</v>
      </c>
      <c r="U289" s="5">
        <f t="shared" ca="1" si="104"/>
        <v>349031.60501659807</v>
      </c>
    </row>
    <row r="290" spans="1:21" x14ac:dyDescent="0.35">
      <c r="A290">
        <f t="shared" ca="1" si="86"/>
        <v>2</v>
      </c>
      <c r="B290" s="4" t="str">
        <f t="shared" ca="1" si="84"/>
        <v>F</v>
      </c>
      <c r="C290" s="3">
        <f t="shared" ca="1" si="87"/>
        <v>1</v>
      </c>
      <c r="D290" s="3">
        <f t="shared" ca="1" si="85"/>
        <v>39</v>
      </c>
      <c r="E290" s="3" t="str">
        <f t="shared" ca="1" si="88"/>
        <v>Engineering</v>
      </c>
      <c r="F290" s="3">
        <f t="shared" ca="1" si="89"/>
        <v>4</v>
      </c>
      <c r="G290" s="3" t="str">
        <f t="shared" ca="1" si="90"/>
        <v>PG</v>
      </c>
      <c r="H290" s="3">
        <f t="shared" ca="1" si="91"/>
        <v>0</v>
      </c>
      <c r="I290" s="3">
        <f t="shared" ca="1" si="92"/>
        <v>1</v>
      </c>
      <c r="J290" s="3">
        <f t="shared" ca="1" si="93"/>
        <v>20</v>
      </c>
      <c r="K290" s="3" t="str">
        <f t="shared" ca="1" si="94"/>
        <v>Nagaland</v>
      </c>
      <c r="L290" s="3">
        <f t="shared" ca="1" si="95"/>
        <v>90823</v>
      </c>
      <c r="M290" s="3">
        <f t="shared" ca="1" si="96"/>
        <v>454115</v>
      </c>
      <c r="N290" s="3">
        <f t="shared" ca="1" si="97"/>
        <v>355540.64947907894</v>
      </c>
      <c r="O290" s="3">
        <f t="shared" ca="1" si="98"/>
        <v>696.04577630678853</v>
      </c>
      <c r="P290" s="3">
        <f t="shared" ca="1" si="99"/>
        <v>75.358090627335059</v>
      </c>
      <c r="Q290" s="3">
        <f t="shared" ca="1" si="100"/>
        <v>47566.273506607722</v>
      </c>
      <c r="R290" s="3">
        <f t="shared" ca="1" si="101"/>
        <v>47770.994603077321</v>
      </c>
      <c r="S290" s="3">
        <f t="shared" ca="1" si="102"/>
        <v>502582.04037938407</v>
      </c>
      <c r="T290" s="3">
        <f t="shared" ca="1" si="103"/>
        <v>403182.28107631404</v>
      </c>
      <c r="U290" s="5">
        <f t="shared" ca="1" si="104"/>
        <v>99399.759303070023</v>
      </c>
    </row>
    <row r="291" spans="1:21" x14ac:dyDescent="0.35">
      <c r="A291">
        <f t="shared" ca="1" si="86"/>
        <v>1</v>
      </c>
      <c r="B291" s="4" t="str">
        <f t="shared" ca="1" si="84"/>
        <v>M</v>
      </c>
      <c r="C291" s="3">
        <f t="shared" ca="1" si="87"/>
        <v>5</v>
      </c>
      <c r="D291" s="3">
        <f t="shared" ca="1" si="85"/>
        <v>25</v>
      </c>
      <c r="E291" s="3" t="str">
        <f t="shared" ca="1" si="88"/>
        <v>Research</v>
      </c>
      <c r="F291" s="3">
        <f t="shared" ca="1" si="89"/>
        <v>5</v>
      </c>
      <c r="G291" s="3" t="str">
        <f t="shared" ca="1" si="90"/>
        <v>Diploma</v>
      </c>
      <c r="H291" s="3">
        <f t="shared" ca="1" si="91"/>
        <v>3</v>
      </c>
      <c r="I291" s="3">
        <f t="shared" ca="1" si="92"/>
        <v>0</v>
      </c>
      <c r="J291" s="3">
        <f t="shared" ca="1" si="93"/>
        <v>27</v>
      </c>
      <c r="K291" s="3" t="str">
        <f t="shared" ca="1" si="94"/>
        <v>Uttrakhand</v>
      </c>
      <c r="L291" s="3">
        <f t="shared" ca="1" si="95"/>
        <v>30855</v>
      </c>
      <c r="M291" s="3">
        <f t="shared" ca="1" si="96"/>
        <v>246840</v>
      </c>
      <c r="N291" s="3">
        <f t="shared" ca="1" si="97"/>
        <v>220308.04117431998</v>
      </c>
      <c r="O291" s="3">
        <f t="shared" ca="1" si="98"/>
        <v>0</v>
      </c>
      <c r="P291" s="3">
        <f t="shared" ca="1" si="99"/>
        <v>0</v>
      </c>
      <c r="Q291" s="3">
        <f t="shared" ca="1" si="100"/>
        <v>5316.5996794318471</v>
      </c>
      <c r="R291" s="3">
        <f t="shared" ca="1" si="101"/>
        <v>13012.745623641445</v>
      </c>
      <c r="S291" s="3">
        <f t="shared" ca="1" si="102"/>
        <v>259852.74562364144</v>
      </c>
      <c r="T291" s="3">
        <f t="shared" ca="1" si="103"/>
        <v>225624.64085375183</v>
      </c>
      <c r="U291" s="5">
        <f t="shared" ca="1" si="104"/>
        <v>34228.104769889615</v>
      </c>
    </row>
    <row r="292" spans="1:21" x14ac:dyDescent="0.35">
      <c r="A292">
        <f t="shared" ca="1" si="86"/>
        <v>1</v>
      </c>
      <c r="B292" s="4" t="str">
        <f t="shared" ca="1" si="84"/>
        <v>M</v>
      </c>
      <c r="C292" s="3">
        <f t="shared" ca="1" si="87"/>
        <v>2</v>
      </c>
      <c r="D292" s="3">
        <f t="shared" ca="1" si="85"/>
        <v>42</v>
      </c>
      <c r="E292" s="3" t="str">
        <f t="shared" ca="1" si="88"/>
        <v>Healthcare</v>
      </c>
      <c r="F292" s="3">
        <f t="shared" ca="1" si="89"/>
        <v>5</v>
      </c>
      <c r="G292" s="3" t="str">
        <f t="shared" ca="1" si="90"/>
        <v>Diploma</v>
      </c>
      <c r="H292" s="3">
        <f t="shared" ca="1" si="91"/>
        <v>1</v>
      </c>
      <c r="I292" s="3">
        <f t="shared" ca="1" si="92"/>
        <v>1</v>
      </c>
      <c r="J292" s="3">
        <f t="shared" ca="1" si="93"/>
        <v>16</v>
      </c>
      <c r="K292" s="3" t="str">
        <f t="shared" ca="1" si="94"/>
        <v>Madhya Pradesh</v>
      </c>
      <c r="L292" s="3">
        <f t="shared" ca="1" si="95"/>
        <v>38644</v>
      </c>
      <c r="M292" s="3">
        <f t="shared" ca="1" si="96"/>
        <v>193220</v>
      </c>
      <c r="N292" s="3">
        <f t="shared" ca="1" si="97"/>
        <v>191759.55314994795</v>
      </c>
      <c r="O292" s="3">
        <f t="shared" ca="1" si="98"/>
        <v>23403.127126957505</v>
      </c>
      <c r="P292" s="3">
        <f t="shared" ca="1" si="99"/>
        <v>18083.809406950888</v>
      </c>
      <c r="Q292" s="3">
        <f t="shared" ca="1" si="100"/>
        <v>14678.684182186429</v>
      </c>
      <c r="R292" s="3">
        <f t="shared" ca="1" si="101"/>
        <v>12457.833705744937</v>
      </c>
      <c r="S292" s="3">
        <f t="shared" ca="1" si="102"/>
        <v>229080.96083270243</v>
      </c>
      <c r="T292" s="3">
        <f t="shared" ca="1" si="103"/>
        <v>224522.04673908529</v>
      </c>
      <c r="U292" s="5">
        <f t="shared" ca="1" si="104"/>
        <v>4558.9140936171461</v>
      </c>
    </row>
    <row r="293" spans="1:21" x14ac:dyDescent="0.35">
      <c r="A293">
        <f t="shared" ca="1" si="86"/>
        <v>1</v>
      </c>
      <c r="B293" s="4" t="str">
        <f t="shared" ca="1" si="84"/>
        <v>M</v>
      </c>
      <c r="C293" s="3">
        <f t="shared" ca="1" si="87"/>
        <v>2</v>
      </c>
      <c r="D293" s="3">
        <f t="shared" ca="1" si="85"/>
        <v>35</v>
      </c>
      <c r="E293" s="3" t="str">
        <f t="shared" ca="1" si="88"/>
        <v>Healthcare</v>
      </c>
      <c r="F293" s="3">
        <f t="shared" ca="1" si="89"/>
        <v>6</v>
      </c>
      <c r="G293" s="3" t="str">
        <f t="shared" ca="1" si="90"/>
        <v>Doctorate</v>
      </c>
      <c r="H293" s="3">
        <f t="shared" ca="1" si="91"/>
        <v>1</v>
      </c>
      <c r="I293" s="3">
        <f t="shared" ca="1" si="92"/>
        <v>2</v>
      </c>
      <c r="J293" s="3">
        <f t="shared" ca="1" si="93"/>
        <v>11</v>
      </c>
      <c r="K293" s="3" t="str">
        <f t="shared" ca="1" si="94"/>
        <v>Goa</v>
      </c>
      <c r="L293" s="3">
        <f t="shared" ca="1" si="95"/>
        <v>58790</v>
      </c>
      <c r="M293" s="3">
        <f t="shared" ca="1" si="96"/>
        <v>411530</v>
      </c>
      <c r="N293" s="3">
        <f t="shared" ca="1" si="97"/>
        <v>291638.7996267433</v>
      </c>
      <c r="O293" s="3">
        <f t="shared" ca="1" si="98"/>
        <v>59501.104214361163</v>
      </c>
      <c r="P293" s="3">
        <f t="shared" ca="1" si="99"/>
        <v>6460.1552856000098</v>
      </c>
      <c r="Q293" s="3">
        <f t="shared" ca="1" si="100"/>
        <v>12567.612666932548</v>
      </c>
      <c r="R293" s="3">
        <f t="shared" ca="1" si="101"/>
        <v>18637.51748572645</v>
      </c>
      <c r="S293" s="3">
        <f t="shared" ca="1" si="102"/>
        <v>489668.62170008762</v>
      </c>
      <c r="T293" s="3">
        <f t="shared" ca="1" si="103"/>
        <v>310666.56757927587</v>
      </c>
      <c r="U293" s="5">
        <f t="shared" ca="1" si="104"/>
        <v>179002.05412081175</v>
      </c>
    </row>
    <row r="294" spans="1:21" x14ac:dyDescent="0.35">
      <c r="A294">
        <f t="shared" ca="1" si="86"/>
        <v>2</v>
      </c>
      <c r="B294" s="4" t="str">
        <f t="shared" ca="1" si="84"/>
        <v>F</v>
      </c>
      <c r="C294" s="3">
        <f t="shared" ca="1" si="87"/>
        <v>1</v>
      </c>
      <c r="D294" s="3">
        <f t="shared" ca="1" si="85"/>
        <v>27</v>
      </c>
      <c r="E294" s="3" t="str">
        <f t="shared" ca="1" si="88"/>
        <v>Engineering</v>
      </c>
      <c r="F294" s="3">
        <f t="shared" ca="1" si="89"/>
        <v>7</v>
      </c>
      <c r="G294" s="3" t="str">
        <f t="shared" ca="1" si="90"/>
        <v>Other</v>
      </c>
      <c r="H294" s="3">
        <f t="shared" ca="1" si="91"/>
        <v>1</v>
      </c>
      <c r="I294" s="3">
        <f t="shared" ca="1" si="92"/>
        <v>2</v>
      </c>
      <c r="J294" s="3">
        <f t="shared" ca="1" si="93"/>
        <v>10</v>
      </c>
      <c r="K294" s="3" t="str">
        <f t="shared" ca="1" si="94"/>
        <v>Gujarat</v>
      </c>
      <c r="L294" s="3">
        <f t="shared" ca="1" si="95"/>
        <v>25776</v>
      </c>
      <c r="M294" s="3">
        <f t="shared" ca="1" si="96"/>
        <v>128880</v>
      </c>
      <c r="N294" s="3">
        <f t="shared" ca="1" si="97"/>
        <v>99966.582239877229</v>
      </c>
      <c r="O294" s="3">
        <f t="shared" ca="1" si="98"/>
        <v>4763.8030970878517</v>
      </c>
      <c r="P294" s="3">
        <f t="shared" ca="1" si="99"/>
        <v>3572.4781950309202</v>
      </c>
      <c r="Q294" s="3">
        <f t="shared" ca="1" si="100"/>
        <v>7414.7226193298002</v>
      </c>
      <c r="R294" s="3">
        <f t="shared" ca="1" si="101"/>
        <v>22483.802699999444</v>
      </c>
      <c r="S294" s="3">
        <f t="shared" ca="1" si="102"/>
        <v>156127.60579708731</v>
      </c>
      <c r="T294" s="3">
        <f t="shared" ca="1" si="103"/>
        <v>110953.78305423795</v>
      </c>
      <c r="U294" s="5">
        <f t="shared" ca="1" si="104"/>
        <v>45173.822742849356</v>
      </c>
    </row>
    <row r="295" spans="1:21" x14ac:dyDescent="0.35">
      <c r="A295">
        <f t="shared" ca="1" si="86"/>
        <v>2</v>
      </c>
      <c r="B295" s="4" t="str">
        <f t="shared" ca="1" si="84"/>
        <v>F</v>
      </c>
      <c r="C295" s="3">
        <f t="shared" ca="1" si="87"/>
        <v>4</v>
      </c>
      <c r="D295" s="3">
        <f t="shared" ca="1" si="85"/>
        <v>18</v>
      </c>
      <c r="E295" s="3" t="str">
        <f t="shared" ca="1" si="88"/>
        <v>Accounting</v>
      </c>
      <c r="F295" s="3">
        <f t="shared" ca="1" si="89"/>
        <v>3</v>
      </c>
      <c r="G295" s="3" t="str">
        <f t="shared" ca="1" si="90"/>
        <v>UG</v>
      </c>
      <c r="H295" s="3">
        <f t="shared" ca="1" si="91"/>
        <v>1</v>
      </c>
      <c r="I295" s="3">
        <f t="shared" ca="1" si="92"/>
        <v>1</v>
      </c>
      <c r="J295" s="3">
        <f t="shared" ca="1" si="93"/>
        <v>9</v>
      </c>
      <c r="K295" s="3" t="str">
        <f t="shared" ca="1" si="94"/>
        <v>Chhattisgarh</v>
      </c>
      <c r="L295" s="3">
        <f t="shared" ca="1" si="95"/>
        <v>81681</v>
      </c>
      <c r="M295" s="3">
        <f t="shared" ca="1" si="96"/>
        <v>408405</v>
      </c>
      <c r="N295" s="3">
        <f t="shared" ca="1" si="97"/>
        <v>161361.86112439309</v>
      </c>
      <c r="O295" s="3">
        <f t="shared" ca="1" si="98"/>
        <v>30716.775286104763</v>
      </c>
      <c r="P295" s="3">
        <f t="shared" ca="1" si="99"/>
        <v>11136.017648821065</v>
      </c>
      <c r="Q295" s="3">
        <f t="shared" ca="1" si="100"/>
        <v>11453.245407445982</v>
      </c>
      <c r="R295" s="3">
        <f t="shared" ca="1" si="101"/>
        <v>27561.783520563153</v>
      </c>
      <c r="S295" s="3">
        <f t="shared" ca="1" si="102"/>
        <v>466683.55880666792</v>
      </c>
      <c r="T295" s="3">
        <f t="shared" ca="1" si="103"/>
        <v>183951.12418066012</v>
      </c>
      <c r="U295" s="5">
        <f t="shared" ca="1" si="104"/>
        <v>282732.4346260078</v>
      </c>
    </row>
    <row r="296" spans="1:21" x14ac:dyDescent="0.35">
      <c r="A296">
        <f t="shared" ca="1" si="86"/>
        <v>1</v>
      </c>
      <c r="B296" s="4" t="str">
        <f t="shared" ca="1" si="84"/>
        <v>M</v>
      </c>
      <c r="C296" s="3">
        <f t="shared" ca="1" si="87"/>
        <v>7</v>
      </c>
      <c r="D296" s="3">
        <f t="shared" ca="1" si="85"/>
        <v>37</v>
      </c>
      <c r="E296" s="3" t="str">
        <f t="shared" ca="1" si="88"/>
        <v>Other</v>
      </c>
      <c r="F296" s="3">
        <f t="shared" ca="1" si="89"/>
        <v>1</v>
      </c>
      <c r="G296" s="3" t="str">
        <f t="shared" ca="1" si="90"/>
        <v>Secondary</v>
      </c>
      <c r="H296" s="3">
        <f t="shared" ca="1" si="91"/>
        <v>3</v>
      </c>
      <c r="I296" s="3">
        <f t="shared" ca="1" si="92"/>
        <v>2</v>
      </c>
      <c r="J296" s="3">
        <f t="shared" ca="1" si="93"/>
        <v>15</v>
      </c>
      <c r="K296" s="3" t="str">
        <f t="shared" ca="1" si="94"/>
        <v>Kerela</v>
      </c>
      <c r="L296" s="3">
        <f t="shared" ca="1" si="95"/>
        <v>65311</v>
      </c>
      <c r="M296" s="3">
        <f t="shared" ca="1" si="96"/>
        <v>522488</v>
      </c>
      <c r="N296" s="3">
        <f t="shared" ca="1" si="97"/>
        <v>233708.09505459611</v>
      </c>
      <c r="O296" s="3">
        <f t="shared" ca="1" si="98"/>
        <v>88455.124685782939</v>
      </c>
      <c r="P296" s="3">
        <f t="shared" ca="1" si="99"/>
        <v>61032.821579818694</v>
      </c>
      <c r="Q296" s="3">
        <f t="shared" ca="1" si="100"/>
        <v>22333.297059346562</v>
      </c>
      <c r="R296" s="3">
        <f t="shared" ca="1" si="101"/>
        <v>58770.019998756536</v>
      </c>
      <c r="S296" s="3">
        <f t="shared" ca="1" si="102"/>
        <v>669713.14468453953</v>
      </c>
      <c r="T296" s="3">
        <f t="shared" ca="1" si="103"/>
        <v>317074.21369376138</v>
      </c>
      <c r="U296" s="5">
        <f t="shared" ca="1" si="104"/>
        <v>352638.93099077814</v>
      </c>
    </row>
    <row r="297" spans="1:21" x14ac:dyDescent="0.35">
      <c r="A297">
        <f t="shared" ca="1" si="86"/>
        <v>1</v>
      </c>
      <c r="B297" s="4" t="str">
        <f t="shared" ca="1" si="84"/>
        <v>M</v>
      </c>
      <c r="C297" s="3">
        <f t="shared" ca="1" si="87"/>
        <v>1</v>
      </c>
      <c r="D297" s="3">
        <f t="shared" ca="1" si="85"/>
        <v>39</v>
      </c>
      <c r="E297" s="3" t="str">
        <f t="shared" ca="1" si="88"/>
        <v>Engineering</v>
      </c>
      <c r="F297" s="3">
        <f t="shared" ca="1" si="89"/>
        <v>7</v>
      </c>
      <c r="G297" s="3" t="str">
        <f t="shared" ca="1" si="90"/>
        <v>Other</v>
      </c>
      <c r="H297" s="3">
        <f t="shared" ca="1" si="91"/>
        <v>3</v>
      </c>
      <c r="I297" s="3">
        <f t="shared" ca="1" si="92"/>
        <v>2</v>
      </c>
      <c r="J297" s="3">
        <f t="shared" ca="1" si="93"/>
        <v>19</v>
      </c>
      <c r="K297" s="3" t="str">
        <f t="shared" ca="1" si="94"/>
        <v>Mizoram</v>
      </c>
      <c r="L297" s="3">
        <f t="shared" ca="1" si="95"/>
        <v>56720</v>
      </c>
      <c r="M297" s="3">
        <f t="shared" ca="1" si="96"/>
        <v>340320</v>
      </c>
      <c r="N297" s="3">
        <f t="shared" ca="1" si="97"/>
        <v>292320.16061105736</v>
      </c>
      <c r="O297" s="3">
        <f t="shared" ca="1" si="98"/>
        <v>103226.87597158883</v>
      </c>
      <c r="P297" s="3">
        <f t="shared" ca="1" si="99"/>
        <v>16650.870809084197</v>
      </c>
      <c r="Q297" s="3">
        <f t="shared" ca="1" si="100"/>
        <v>5210.5609266440124</v>
      </c>
      <c r="R297" s="3">
        <f t="shared" ca="1" si="101"/>
        <v>49842.943455723929</v>
      </c>
      <c r="S297" s="3">
        <f t="shared" ca="1" si="102"/>
        <v>493389.81942731276</v>
      </c>
      <c r="T297" s="3">
        <f t="shared" ca="1" si="103"/>
        <v>314181.59234678559</v>
      </c>
      <c r="U297" s="5">
        <f t="shared" ca="1" si="104"/>
        <v>179208.22708052717</v>
      </c>
    </row>
    <row r="298" spans="1:21" x14ac:dyDescent="0.35">
      <c r="A298">
        <f t="shared" ca="1" si="86"/>
        <v>1</v>
      </c>
      <c r="B298" s="4" t="str">
        <f t="shared" ca="1" si="84"/>
        <v>M</v>
      </c>
      <c r="C298" s="3">
        <f t="shared" ca="1" si="87"/>
        <v>6</v>
      </c>
      <c r="D298" s="3">
        <f t="shared" ca="1" si="85"/>
        <v>23</v>
      </c>
      <c r="E298" s="3" t="str">
        <f t="shared" ca="1" si="88"/>
        <v>Art</v>
      </c>
      <c r="F298" s="3">
        <f t="shared" ca="1" si="89"/>
        <v>3</v>
      </c>
      <c r="G298" s="3" t="str">
        <f t="shared" ca="1" si="90"/>
        <v>UG</v>
      </c>
      <c r="H298" s="3">
        <f t="shared" ca="1" si="91"/>
        <v>1</v>
      </c>
      <c r="I298" s="3">
        <f t="shared" ca="1" si="92"/>
        <v>3</v>
      </c>
      <c r="J298" s="3">
        <f t="shared" ca="1" si="93"/>
        <v>16</v>
      </c>
      <c r="K298" s="3" t="str">
        <f t="shared" ca="1" si="94"/>
        <v>Madhya Pradesh</v>
      </c>
      <c r="L298" s="3">
        <f t="shared" ca="1" si="95"/>
        <v>86035</v>
      </c>
      <c r="M298" s="3">
        <f t="shared" ca="1" si="96"/>
        <v>602245</v>
      </c>
      <c r="N298" s="3">
        <f t="shared" ca="1" si="97"/>
        <v>532764.85884155543</v>
      </c>
      <c r="O298" s="3">
        <f t="shared" ca="1" si="98"/>
        <v>120732.19132550103</v>
      </c>
      <c r="P298" s="3">
        <f t="shared" ca="1" si="99"/>
        <v>20505.604625730619</v>
      </c>
      <c r="Q298" s="3">
        <f t="shared" ca="1" si="100"/>
        <v>62266.401739823486</v>
      </c>
      <c r="R298" s="3">
        <f t="shared" ca="1" si="101"/>
        <v>76520.882628006555</v>
      </c>
      <c r="S298" s="3">
        <f t="shared" ca="1" si="102"/>
        <v>799498.07395350758</v>
      </c>
      <c r="T298" s="3">
        <f t="shared" ca="1" si="103"/>
        <v>615536.8652071096</v>
      </c>
      <c r="U298" s="5">
        <f t="shared" ca="1" si="104"/>
        <v>183961.20874639798</v>
      </c>
    </row>
    <row r="299" spans="1:21" x14ac:dyDescent="0.35">
      <c r="A299">
        <f t="shared" ca="1" si="86"/>
        <v>2</v>
      </c>
      <c r="B299" s="4" t="str">
        <f t="shared" ca="1" si="84"/>
        <v>F</v>
      </c>
      <c r="C299" s="3">
        <f t="shared" ca="1" si="87"/>
        <v>3</v>
      </c>
      <c r="D299" s="3">
        <f t="shared" ca="1" si="85"/>
        <v>39</v>
      </c>
      <c r="E299" s="3" t="str">
        <f t="shared" ca="1" si="88"/>
        <v>IT</v>
      </c>
      <c r="F299" s="3">
        <f t="shared" ca="1" si="89"/>
        <v>7</v>
      </c>
      <c r="G299" s="3" t="str">
        <f t="shared" ca="1" si="90"/>
        <v>Other</v>
      </c>
      <c r="H299" s="3">
        <f t="shared" ca="1" si="91"/>
        <v>1</v>
      </c>
      <c r="I299" s="3">
        <f t="shared" ca="1" si="92"/>
        <v>1</v>
      </c>
      <c r="J299" s="3">
        <f t="shared" ca="1" si="93"/>
        <v>5</v>
      </c>
      <c r="K299" s="3" t="str">
        <f t="shared" ca="1" si="94"/>
        <v>Andhra Pradesh</v>
      </c>
      <c r="L299" s="3">
        <f t="shared" ca="1" si="95"/>
        <v>28682</v>
      </c>
      <c r="M299" s="3">
        <f t="shared" ca="1" si="96"/>
        <v>143410</v>
      </c>
      <c r="N299" s="3">
        <f t="shared" ca="1" si="97"/>
        <v>69339.206906393898</v>
      </c>
      <c r="O299" s="3">
        <f t="shared" ca="1" si="98"/>
        <v>15574.438205548708</v>
      </c>
      <c r="P299" s="3">
        <f t="shared" ca="1" si="99"/>
        <v>5023.0125821231659</v>
      </c>
      <c r="Q299" s="3">
        <f t="shared" ca="1" si="100"/>
        <v>15055.038905233412</v>
      </c>
      <c r="R299" s="3">
        <f t="shared" ca="1" si="101"/>
        <v>10542.354542521278</v>
      </c>
      <c r="S299" s="3">
        <f t="shared" ca="1" si="102"/>
        <v>169526.79274806997</v>
      </c>
      <c r="T299" s="3">
        <f t="shared" ca="1" si="103"/>
        <v>89417.258393750468</v>
      </c>
      <c r="U299" s="5">
        <f t="shared" ca="1" si="104"/>
        <v>80109.534354319505</v>
      </c>
    </row>
    <row r="300" spans="1:21" x14ac:dyDescent="0.35">
      <c r="A300">
        <f t="shared" ca="1" si="86"/>
        <v>1</v>
      </c>
      <c r="B300" s="4" t="str">
        <f t="shared" ca="1" si="84"/>
        <v>M</v>
      </c>
      <c r="C300" s="3">
        <f t="shared" ca="1" si="87"/>
        <v>3</v>
      </c>
      <c r="D300" s="3">
        <f t="shared" ca="1" si="85"/>
        <v>41</v>
      </c>
      <c r="E300" s="3" t="str">
        <f t="shared" ca="1" si="88"/>
        <v>IT</v>
      </c>
      <c r="F300" s="3">
        <f t="shared" ca="1" si="89"/>
        <v>6</v>
      </c>
      <c r="G300" s="3" t="str">
        <f t="shared" ca="1" si="90"/>
        <v>Doctorate</v>
      </c>
      <c r="H300" s="3">
        <f t="shared" ca="1" si="91"/>
        <v>4</v>
      </c>
      <c r="I300" s="3">
        <f t="shared" ca="1" si="92"/>
        <v>0</v>
      </c>
      <c r="J300" s="3">
        <f t="shared" ca="1" si="93"/>
        <v>14</v>
      </c>
      <c r="K300" s="3" t="str">
        <f t="shared" ca="1" si="94"/>
        <v>Karnataka</v>
      </c>
      <c r="L300" s="3">
        <f t="shared" ca="1" si="95"/>
        <v>34810</v>
      </c>
      <c r="M300" s="3">
        <f t="shared" ca="1" si="96"/>
        <v>208860</v>
      </c>
      <c r="N300" s="3">
        <f t="shared" ca="1" si="97"/>
        <v>36651.278222876354</v>
      </c>
      <c r="O300" s="3">
        <f t="shared" ca="1" si="98"/>
        <v>0</v>
      </c>
      <c r="P300" s="3">
        <f t="shared" ca="1" si="99"/>
        <v>0</v>
      </c>
      <c r="Q300" s="3">
        <f t="shared" ca="1" si="100"/>
        <v>15106.181828327552</v>
      </c>
      <c r="R300" s="3">
        <f t="shared" ca="1" si="101"/>
        <v>28918.467526214612</v>
      </c>
      <c r="S300" s="3">
        <f t="shared" ca="1" si="102"/>
        <v>237778.4675262146</v>
      </c>
      <c r="T300" s="3">
        <f t="shared" ca="1" si="103"/>
        <v>51757.460051203903</v>
      </c>
      <c r="U300" s="5">
        <f t="shared" ca="1" si="104"/>
        <v>186021.0074750107</v>
      </c>
    </row>
    <row r="301" spans="1:21" x14ac:dyDescent="0.35">
      <c r="A301">
        <f t="shared" ca="1" si="86"/>
        <v>1</v>
      </c>
      <c r="B301" s="4" t="str">
        <f t="shared" ca="1" si="84"/>
        <v>M</v>
      </c>
      <c r="C301" s="3">
        <f t="shared" ca="1" si="87"/>
        <v>6</v>
      </c>
      <c r="D301" s="3">
        <f t="shared" ca="1" si="85"/>
        <v>18</v>
      </c>
      <c r="E301" s="3" t="str">
        <f t="shared" ca="1" si="88"/>
        <v>Art</v>
      </c>
      <c r="F301" s="3">
        <f t="shared" ca="1" si="89"/>
        <v>1</v>
      </c>
      <c r="G301" s="3" t="str">
        <f t="shared" ca="1" si="90"/>
        <v>Secondary</v>
      </c>
      <c r="H301" s="3">
        <f t="shared" ca="1" si="91"/>
        <v>3</v>
      </c>
      <c r="I301" s="3">
        <f t="shared" ca="1" si="92"/>
        <v>2</v>
      </c>
      <c r="J301" s="3">
        <f t="shared" ca="1" si="93"/>
        <v>28</v>
      </c>
      <c r="K301" s="3" t="str">
        <f t="shared" ca="1" si="94"/>
        <v>West Bengal</v>
      </c>
      <c r="L301" s="3">
        <f t="shared" ca="1" si="95"/>
        <v>83178</v>
      </c>
      <c r="M301" s="3">
        <f t="shared" ca="1" si="96"/>
        <v>415890</v>
      </c>
      <c r="N301" s="3">
        <f t="shared" ca="1" si="97"/>
        <v>356714.03246897028</v>
      </c>
      <c r="O301" s="3">
        <f t="shared" ca="1" si="98"/>
        <v>120721.01992621551</v>
      </c>
      <c r="P301" s="3">
        <f t="shared" ca="1" si="99"/>
        <v>21961.688212071771</v>
      </c>
      <c r="Q301" s="3">
        <f t="shared" ca="1" si="100"/>
        <v>69645.654460943158</v>
      </c>
      <c r="R301" s="3">
        <f t="shared" ca="1" si="101"/>
        <v>28182.661107511289</v>
      </c>
      <c r="S301" s="3">
        <f t="shared" ca="1" si="102"/>
        <v>564793.68103372678</v>
      </c>
      <c r="T301" s="3">
        <f t="shared" ca="1" si="103"/>
        <v>448321.37514198525</v>
      </c>
      <c r="U301" s="5">
        <f t="shared" ca="1" si="104"/>
        <v>116472.30589174153</v>
      </c>
    </row>
    <row r="302" spans="1:21" x14ac:dyDescent="0.35">
      <c r="A302">
        <f t="shared" ca="1" si="86"/>
        <v>2</v>
      </c>
      <c r="B302" s="4" t="str">
        <f t="shared" ca="1" si="84"/>
        <v>F</v>
      </c>
      <c r="C302" s="3">
        <f t="shared" ca="1" si="87"/>
        <v>4</v>
      </c>
      <c r="D302" s="3">
        <f t="shared" ca="1" si="85"/>
        <v>27</v>
      </c>
      <c r="E302" s="3" t="str">
        <f t="shared" ca="1" si="88"/>
        <v>Accounting</v>
      </c>
      <c r="F302" s="3">
        <f t="shared" ca="1" si="89"/>
        <v>4</v>
      </c>
      <c r="G302" s="3" t="str">
        <f t="shared" ca="1" si="90"/>
        <v>PG</v>
      </c>
      <c r="H302" s="3">
        <f t="shared" ca="1" si="91"/>
        <v>4</v>
      </c>
      <c r="I302" s="3">
        <f t="shared" ca="1" si="92"/>
        <v>2</v>
      </c>
      <c r="J302" s="3">
        <f t="shared" ca="1" si="93"/>
        <v>6</v>
      </c>
      <c r="K302" s="3" t="str">
        <f t="shared" ca="1" si="94"/>
        <v>Arunachal Pradesh</v>
      </c>
      <c r="L302" s="3">
        <f t="shared" ca="1" si="95"/>
        <v>39187</v>
      </c>
      <c r="M302" s="3">
        <f t="shared" ca="1" si="96"/>
        <v>313496</v>
      </c>
      <c r="N302" s="3">
        <f t="shared" ca="1" si="97"/>
        <v>170545.15196931816</v>
      </c>
      <c r="O302" s="3">
        <f t="shared" ca="1" si="98"/>
        <v>7075.2048672465717</v>
      </c>
      <c r="P302" s="3">
        <f t="shared" ca="1" si="99"/>
        <v>6498.5356236474054</v>
      </c>
      <c r="Q302" s="3">
        <f t="shared" ca="1" si="100"/>
        <v>27241.193792543054</v>
      </c>
      <c r="R302" s="3">
        <f t="shared" ca="1" si="101"/>
        <v>33206.870739865793</v>
      </c>
      <c r="S302" s="3">
        <f t="shared" ca="1" si="102"/>
        <v>353778.07560711238</v>
      </c>
      <c r="T302" s="3">
        <f t="shared" ca="1" si="103"/>
        <v>204284.88138550863</v>
      </c>
      <c r="U302" s="5">
        <f t="shared" ca="1" si="104"/>
        <v>149493.19422160374</v>
      </c>
    </row>
    <row r="303" spans="1:21" x14ac:dyDescent="0.35">
      <c r="A303">
        <f t="shared" ca="1" si="86"/>
        <v>1</v>
      </c>
      <c r="B303" s="4" t="str">
        <f t="shared" ca="1" si="84"/>
        <v>M</v>
      </c>
      <c r="C303" s="3">
        <f t="shared" ca="1" si="87"/>
        <v>4</v>
      </c>
      <c r="D303" s="3">
        <f t="shared" ca="1" si="85"/>
        <v>29</v>
      </c>
      <c r="E303" s="3" t="str">
        <f t="shared" ca="1" si="88"/>
        <v>Accounting</v>
      </c>
      <c r="F303" s="3">
        <f t="shared" ca="1" si="89"/>
        <v>4</v>
      </c>
      <c r="G303" s="3" t="str">
        <f t="shared" ca="1" si="90"/>
        <v>PG</v>
      </c>
      <c r="H303" s="3">
        <f t="shared" ca="1" si="91"/>
        <v>1</v>
      </c>
      <c r="I303" s="3">
        <f t="shared" ca="1" si="92"/>
        <v>0</v>
      </c>
      <c r="J303" s="3">
        <f t="shared" ca="1" si="93"/>
        <v>4</v>
      </c>
      <c r="K303" s="3" t="str">
        <f t="shared" ca="1" si="94"/>
        <v>Maharashtra</v>
      </c>
      <c r="L303" s="3">
        <f t="shared" ca="1" si="95"/>
        <v>54945</v>
      </c>
      <c r="M303" s="3">
        <f t="shared" ca="1" si="96"/>
        <v>329670</v>
      </c>
      <c r="N303" s="3">
        <f t="shared" ca="1" si="97"/>
        <v>215465.11749083712</v>
      </c>
      <c r="O303" s="3">
        <f t="shared" ca="1" si="98"/>
        <v>0</v>
      </c>
      <c r="P303" s="3">
        <f t="shared" ca="1" si="99"/>
        <v>0</v>
      </c>
      <c r="Q303" s="3">
        <f t="shared" ca="1" si="100"/>
        <v>4616.488906644081</v>
      </c>
      <c r="R303" s="3">
        <f t="shared" ca="1" si="101"/>
        <v>11267.053958478111</v>
      </c>
      <c r="S303" s="3">
        <f t="shared" ca="1" si="102"/>
        <v>340937.05395847809</v>
      </c>
      <c r="T303" s="3">
        <f t="shared" ca="1" si="103"/>
        <v>220081.6063974812</v>
      </c>
      <c r="U303" s="5">
        <f t="shared" ca="1" si="104"/>
        <v>120855.44756099689</v>
      </c>
    </row>
    <row r="304" spans="1:21" x14ac:dyDescent="0.35">
      <c r="A304">
        <f t="shared" ca="1" si="86"/>
        <v>1</v>
      </c>
      <c r="B304" s="4" t="str">
        <f t="shared" ca="1" si="84"/>
        <v>M</v>
      </c>
      <c r="C304" s="3">
        <f t="shared" ca="1" si="87"/>
        <v>7</v>
      </c>
      <c r="D304" s="3">
        <f t="shared" ca="1" si="85"/>
        <v>33</v>
      </c>
      <c r="E304" s="3" t="str">
        <f t="shared" ca="1" si="88"/>
        <v>Other</v>
      </c>
      <c r="F304" s="3">
        <f t="shared" ca="1" si="89"/>
        <v>1</v>
      </c>
      <c r="G304" s="3" t="str">
        <f t="shared" ca="1" si="90"/>
        <v>Secondary</v>
      </c>
      <c r="H304" s="3">
        <f t="shared" ca="1" si="91"/>
        <v>3</v>
      </c>
      <c r="I304" s="3">
        <f t="shared" ca="1" si="92"/>
        <v>3</v>
      </c>
      <c r="J304" s="3">
        <f t="shared" ca="1" si="93"/>
        <v>27</v>
      </c>
      <c r="K304" s="3" t="str">
        <f t="shared" ca="1" si="94"/>
        <v>Uttrakhand</v>
      </c>
      <c r="L304" s="3">
        <f t="shared" ca="1" si="95"/>
        <v>96469</v>
      </c>
      <c r="M304" s="3">
        <f t="shared" ca="1" si="96"/>
        <v>578814</v>
      </c>
      <c r="N304" s="3">
        <f t="shared" ca="1" si="97"/>
        <v>500250.45724713331</v>
      </c>
      <c r="O304" s="3">
        <f t="shared" ca="1" si="98"/>
        <v>146652.85982215777</v>
      </c>
      <c r="P304" s="3">
        <f t="shared" ca="1" si="99"/>
        <v>135806.66558667971</v>
      </c>
      <c r="Q304" s="3">
        <f t="shared" ca="1" si="100"/>
        <v>82683.579796237129</v>
      </c>
      <c r="R304" s="3">
        <f t="shared" ca="1" si="101"/>
        <v>16425.576132602015</v>
      </c>
      <c r="S304" s="3">
        <f t="shared" ca="1" si="102"/>
        <v>741892.43595475983</v>
      </c>
      <c r="T304" s="3">
        <f t="shared" ca="1" si="103"/>
        <v>718740.70263005025</v>
      </c>
      <c r="U304" s="5">
        <f t="shared" ca="1" si="104"/>
        <v>23151.733324709581</v>
      </c>
    </row>
    <row r="305" spans="1:21" x14ac:dyDescent="0.35">
      <c r="A305">
        <f t="shared" ca="1" si="86"/>
        <v>2</v>
      </c>
      <c r="B305" s="4" t="str">
        <f t="shared" ca="1" si="84"/>
        <v>F</v>
      </c>
      <c r="C305" s="3">
        <f t="shared" ca="1" si="87"/>
        <v>1</v>
      </c>
      <c r="D305" s="3">
        <f t="shared" ca="1" si="85"/>
        <v>25</v>
      </c>
      <c r="E305" s="3" t="str">
        <f t="shared" ca="1" si="88"/>
        <v>Engineering</v>
      </c>
      <c r="F305" s="3">
        <f t="shared" ca="1" si="89"/>
        <v>7</v>
      </c>
      <c r="G305" s="3" t="str">
        <f t="shared" ca="1" si="90"/>
        <v>Other</v>
      </c>
      <c r="H305" s="3">
        <f t="shared" ca="1" si="91"/>
        <v>3</v>
      </c>
      <c r="I305" s="3">
        <f t="shared" ca="1" si="92"/>
        <v>1</v>
      </c>
      <c r="J305" s="3">
        <f t="shared" ca="1" si="93"/>
        <v>11</v>
      </c>
      <c r="K305" s="3" t="str">
        <f t="shared" ca="1" si="94"/>
        <v>Goa</v>
      </c>
      <c r="L305" s="3">
        <f t="shared" ca="1" si="95"/>
        <v>68007</v>
      </c>
      <c r="M305" s="3">
        <f t="shared" ca="1" si="96"/>
        <v>612063</v>
      </c>
      <c r="N305" s="3">
        <f t="shared" ca="1" si="97"/>
        <v>549576.70651023067</v>
      </c>
      <c r="O305" s="3">
        <f t="shared" ca="1" si="98"/>
        <v>29459.390105664093</v>
      </c>
      <c r="P305" s="3">
        <f t="shared" ca="1" si="99"/>
        <v>27476.477324897387</v>
      </c>
      <c r="Q305" s="3">
        <f t="shared" ca="1" si="100"/>
        <v>9793.1715836345138</v>
      </c>
      <c r="R305" s="3">
        <f t="shared" ca="1" si="101"/>
        <v>44559.734746153605</v>
      </c>
      <c r="S305" s="3">
        <f t="shared" ca="1" si="102"/>
        <v>686082.12485181773</v>
      </c>
      <c r="T305" s="3">
        <f t="shared" ca="1" si="103"/>
        <v>586846.35541876266</v>
      </c>
      <c r="U305" s="5">
        <f t="shared" ca="1" si="104"/>
        <v>99235.769433055073</v>
      </c>
    </row>
    <row r="306" spans="1:21" x14ac:dyDescent="0.35">
      <c r="A306">
        <f t="shared" ca="1" si="86"/>
        <v>1</v>
      </c>
      <c r="B306" s="4" t="str">
        <f t="shared" ca="1" si="84"/>
        <v>M</v>
      </c>
      <c r="C306" s="3">
        <f t="shared" ca="1" si="87"/>
        <v>5</v>
      </c>
      <c r="D306" s="3">
        <f t="shared" ca="1" si="85"/>
        <v>40</v>
      </c>
      <c r="E306" s="3" t="str">
        <f t="shared" ca="1" si="88"/>
        <v>Research</v>
      </c>
      <c r="F306" s="3">
        <f t="shared" ca="1" si="89"/>
        <v>1</v>
      </c>
      <c r="G306" s="3" t="str">
        <f t="shared" ca="1" si="90"/>
        <v>Secondary</v>
      </c>
      <c r="H306" s="3">
        <f t="shared" ca="1" si="91"/>
        <v>3</v>
      </c>
      <c r="I306" s="3">
        <f t="shared" ca="1" si="92"/>
        <v>3</v>
      </c>
      <c r="J306" s="3">
        <f t="shared" ca="1" si="93"/>
        <v>25</v>
      </c>
      <c r="K306" s="3" t="str">
        <f t="shared" ca="1" si="94"/>
        <v>Telangana</v>
      </c>
      <c r="L306" s="3">
        <f t="shared" ca="1" si="95"/>
        <v>71628</v>
      </c>
      <c r="M306" s="3">
        <f t="shared" ca="1" si="96"/>
        <v>573024</v>
      </c>
      <c r="N306" s="3">
        <f t="shared" ca="1" si="97"/>
        <v>202817.64931483849</v>
      </c>
      <c r="O306" s="3">
        <f t="shared" ca="1" si="98"/>
        <v>44645.555635146491</v>
      </c>
      <c r="P306" s="3">
        <f t="shared" ca="1" si="99"/>
        <v>1221.7537318442362</v>
      </c>
      <c r="Q306" s="3">
        <f t="shared" ca="1" si="100"/>
        <v>39383.895266843094</v>
      </c>
      <c r="R306" s="3">
        <f t="shared" ca="1" si="101"/>
        <v>29843.290241012339</v>
      </c>
      <c r="S306" s="3">
        <f t="shared" ca="1" si="102"/>
        <v>647512.8458761588</v>
      </c>
      <c r="T306" s="3">
        <f t="shared" ca="1" si="103"/>
        <v>243423.29831352583</v>
      </c>
      <c r="U306" s="5">
        <f t="shared" ca="1" si="104"/>
        <v>404089.54756263294</v>
      </c>
    </row>
    <row r="307" spans="1:21" x14ac:dyDescent="0.35">
      <c r="A307">
        <f t="shared" ca="1" si="86"/>
        <v>2</v>
      </c>
      <c r="B307" s="4" t="str">
        <f t="shared" ca="1" si="84"/>
        <v>F</v>
      </c>
      <c r="C307" s="3">
        <f t="shared" ca="1" si="87"/>
        <v>3</v>
      </c>
      <c r="D307" s="3">
        <f t="shared" ca="1" si="85"/>
        <v>30</v>
      </c>
      <c r="E307" s="3" t="str">
        <f t="shared" ca="1" si="88"/>
        <v>IT</v>
      </c>
      <c r="F307" s="3">
        <f t="shared" ca="1" si="89"/>
        <v>5</v>
      </c>
      <c r="G307" s="3" t="str">
        <f t="shared" ca="1" si="90"/>
        <v>Diploma</v>
      </c>
      <c r="H307" s="3">
        <f t="shared" ca="1" si="91"/>
        <v>0</v>
      </c>
      <c r="I307" s="3">
        <f t="shared" ca="1" si="92"/>
        <v>1</v>
      </c>
      <c r="J307" s="3">
        <f t="shared" ca="1" si="93"/>
        <v>17</v>
      </c>
      <c r="K307" s="3" t="str">
        <f t="shared" ca="1" si="94"/>
        <v xml:space="preserve">Manipur </v>
      </c>
      <c r="L307" s="3">
        <f t="shared" ca="1" si="95"/>
        <v>86841</v>
      </c>
      <c r="M307" s="3">
        <f t="shared" ca="1" si="96"/>
        <v>607887</v>
      </c>
      <c r="N307" s="3">
        <f t="shared" ca="1" si="97"/>
        <v>71748.117716605673</v>
      </c>
      <c r="O307" s="3">
        <f t="shared" ca="1" si="98"/>
        <v>10653.583277265292</v>
      </c>
      <c r="P307" s="3">
        <f t="shared" ca="1" si="99"/>
        <v>10398.351932900687</v>
      </c>
      <c r="Q307" s="3">
        <f t="shared" ca="1" si="100"/>
        <v>42150.442070461868</v>
      </c>
      <c r="R307" s="3">
        <f t="shared" ca="1" si="101"/>
        <v>28949.07009438868</v>
      </c>
      <c r="S307" s="3">
        <f t="shared" ca="1" si="102"/>
        <v>647489.65337165399</v>
      </c>
      <c r="T307" s="3">
        <f t="shared" ca="1" si="103"/>
        <v>124296.91171996822</v>
      </c>
      <c r="U307" s="5">
        <f t="shared" ca="1" si="104"/>
        <v>523192.74165168579</v>
      </c>
    </row>
    <row r="308" spans="1:21" x14ac:dyDescent="0.35">
      <c r="A308">
        <f t="shared" ca="1" si="86"/>
        <v>1</v>
      </c>
      <c r="B308" s="4" t="str">
        <f t="shared" ca="1" si="84"/>
        <v>M</v>
      </c>
      <c r="C308" s="3">
        <f t="shared" ca="1" si="87"/>
        <v>1</v>
      </c>
      <c r="D308" s="3">
        <f t="shared" ca="1" si="85"/>
        <v>29</v>
      </c>
      <c r="E308" s="3" t="str">
        <f t="shared" ca="1" si="88"/>
        <v>Engineering</v>
      </c>
      <c r="F308" s="3">
        <f t="shared" ca="1" si="89"/>
        <v>1</v>
      </c>
      <c r="G308" s="3" t="str">
        <f t="shared" ca="1" si="90"/>
        <v>Secondary</v>
      </c>
      <c r="H308" s="3">
        <f t="shared" ca="1" si="91"/>
        <v>1</v>
      </c>
      <c r="I308" s="3">
        <f t="shared" ca="1" si="92"/>
        <v>1</v>
      </c>
      <c r="J308" s="3">
        <f t="shared" ca="1" si="93"/>
        <v>2</v>
      </c>
      <c r="K308" s="3" t="str">
        <f t="shared" ca="1" si="94"/>
        <v>Uttar Pradesh</v>
      </c>
      <c r="L308" s="3">
        <f t="shared" ca="1" si="95"/>
        <v>87683</v>
      </c>
      <c r="M308" s="3">
        <f t="shared" ca="1" si="96"/>
        <v>526098</v>
      </c>
      <c r="N308" s="3">
        <f t="shared" ca="1" si="97"/>
        <v>345465.42350690259</v>
      </c>
      <c r="O308" s="3">
        <f t="shared" ca="1" si="98"/>
        <v>66538.754262542876</v>
      </c>
      <c r="P308" s="3">
        <f t="shared" ca="1" si="99"/>
        <v>11032.004742848694</v>
      </c>
      <c r="Q308" s="3">
        <f t="shared" ca="1" si="100"/>
        <v>82404.044507352854</v>
      </c>
      <c r="R308" s="3">
        <f t="shared" ca="1" si="101"/>
        <v>79773.388410494561</v>
      </c>
      <c r="S308" s="3">
        <f t="shared" ca="1" si="102"/>
        <v>672410.14267303736</v>
      </c>
      <c r="T308" s="3">
        <f t="shared" ca="1" si="103"/>
        <v>438901.47275710414</v>
      </c>
      <c r="U308" s="5">
        <f t="shared" ca="1" si="104"/>
        <v>233508.66991593322</v>
      </c>
    </row>
    <row r="309" spans="1:21" x14ac:dyDescent="0.35">
      <c r="A309">
        <f t="shared" ca="1" si="86"/>
        <v>2</v>
      </c>
      <c r="B309" s="4" t="str">
        <f t="shared" ca="1" si="84"/>
        <v>F</v>
      </c>
      <c r="C309" s="3">
        <f t="shared" ca="1" si="87"/>
        <v>3</v>
      </c>
      <c r="D309" s="3">
        <f t="shared" ca="1" si="85"/>
        <v>30</v>
      </c>
      <c r="E309" s="3" t="str">
        <f t="shared" ca="1" si="88"/>
        <v>IT</v>
      </c>
      <c r="F309" s="3">
        <f t="shared" ca="1" si="89"/>
        <v>5</v>
      </c>
      <c r="G309" s="3" t="str">
        <f t="shared" ca="1" si="90"/>
        <v>Diploma</v>
      </c>
      <c r="H309" s="3">
        <f t="shared" ca="1" si="91"/>
        <v>0</v>
      </c>
      <c r="I309" s="3">
        <f t="shared" ca="1" si="92"/>
        <v>1</v>
      </c>
      <c r="J309" s="3">
        <f t="shared" ca="1" si="93"/>
        <v>18</v>
      </c>
      <c r="K309" s="3" t="str">
        <f t="shared" ca="1" si="94"/>
        <v>Meghalya</v>
      </c>
      <c r="L309" s="3">
        <f t="shared" ca="1" si="95"/>
        <v>59144</v>
      </c>
      <c r="M309" s="3">
        <f t="shared" ca="1" si="96"/>
        <v>532296</v>
      </c>
      <c r="N309" s="3">
        <f t="shared" ca="1" si="97"/>
        <v>420394.30006556906</v>
      </c>
      <c r="O309" s="3">
        <f t="shared" ca="1" si="98"/>
        <v>58698.732855638351</v>
      </c>
      <c r="P309" s="3">
        <f t="shared" ca="1" si="99"/>
        <v>9494.9022744961803</v>
      </c>
      <c r="Q309" s="3">
        <f t="shared" ca="1" si="100"/>
        <v>43173.168960041876</v>
      </c>
      <c r="R309" s="3">
        <f t="shared" ca="1" si="101"/>
        <v>39456.416725773794</v>
      </c>
      <c r="S309" s="3">
        <f t="shared" ca="1" si="102"/>
        <v>630451.1495814122</v>
      </c>
      <c r="T309" s="3">
        <f t="shared" ca="1" si="103"/>
        <v>473062.3713001071</v>
      </c>
      <c r="U309" s="5">
        <f t="shared" ca="1" si="104"/>
        <v>157388.7782813051</v>
      </c>
    </row>
    <row r="310" spans="1:21" x14ac:dyDescent="0.35">
      <c r="A310">
        <f t="shared" ca="1" si="86"/>
        <v>2</v>
      </c>
      <c r="B310" s="4" t="str">
        <f t="shared" ca="1" si="84"/>
        <v>F</v>
      </c>
      <c r="C310" s="3">
        <f t="shared" ca="1" si="87"/>
        <v>7</v>
      </c>
      <c r="D310" s="3">
        <f t="shared" ca="1" si="85"/>
        <v>18</v>
      </c>
      <c r="E310" s="3" t="str">
        <f t="shared" ca="1" si="88"/>
        <v>Other</v>
      </c>
      <c r="F310" s="3">
        <f t="shared" ca="1" si="89"/>
        <v>6</v>
      </c>
      <c r="G310" s="3" t="str">
        <f t="shared" ca="1" si="90"/>
        <v>Doctorate</v>
      </c>
      <c r="H310" s="3">
        <f t="shared" ca="1" si="91"/>
        <v>4</v>
      </c>
      <c r="I310" s="3">
        <f t="shared" ca="1" si="92"/>
        <v>3</v>
      </c>
      <c r="J310" s="3">
        <f t="shared" ca="1" si="93"/>
        <v>28</v>
      </c>
      <c r="K310" s="3" t="str">
        <f t="shared" ca="1" si="94"/>
        <v>West Bengal</v>
      </c>
      <c r="L310" s="3">
        <f t="shared" ca="1" si="95"/>
        <v>57142</v>
      </c>
      <c r="M310" s="3">
        <f t="shared" ca="1" si="96"/>
        <v>457136</v>
      </c>
      <c r="N310" s="3">
        <f t="shared" ca="1" si="97"/>
        <v>176709.34227295659</v>
      </c>
      <c r="O310" s="3">
        <f t="shared" ca="1" si="98"/>
        <v>43837.697716277326</v>
      </c>
      <c r="P310" s="3">
        <f t="shared" ca="1" si="99"/>
        <v>13995.077919572997</v>
      </c>
      <c r="Q310" s="3">
        <f t="shared" ca="1" si="100"/>
        <v>55997.398770165317</v>
      </c>
      <c r="R310" s="3">
        <f t="shared" ca="1" si="101"/>
        <v>16580.202592619797</v>
      </c>
      <c r="S310" s="3">
        <f t="shared" ca="1" si="102"/>
        <v>517553.90030889714</v>
      </c>
      <c r="T310" s="3">
        <f t="shared" ca="1" si="103"/>
        <v>246701.8189626949</v>
      </c>
      <c r="U310" s="5">
        <f t="shared" ca="1" si="104"/>
        <v>270852.08134620223</v>
      </c>
    </row>
    <row r="311" spans="1:21" x14ac:dyDescent="0.35">
      <c r="A311">
        <f t="shared" ca="1" si="86"/>
        <v>2</v>
      </c>
      <c r="B311" s="4" t="str">
        <f t="shared" ca="1" si="84"/>
        <v>F</v>
      </c>
      <c r="C311" s="3">
        <f t="shared" ca="1" si="87"/>
        <v>7</v>
      </c>
      <c r="D311" s="3">
        <f t="shared" ca="1" si="85"/>
        <v>42</v>
      </c>
      <c r="E311" s="3" t="str">
        <f t="shared" ca="1" si="88"/>
        <v>Other</v>
      </c>
      <c r="F311" s="3">
        <f t="shared" ca="1" si="89"/>
        <v>1</v>
      </c>
      <c r="G311" s="3" t="str">
        <f t="shared" ca="1" si="90"/>
        <v>Secondary</v>
      </c>
      <c r="H311" s="3">
        <f t="shared" ca="1" si="91"/>
        <v>2</v>
      </c>
      <c r="I311" s="3">
        <f t="shared" ca="1" si="92"/>
        <v>1</v>
      </c>
      <c r="J311" s="3">
        <f t="shared" ca="1" si="93"/>
        <v>20</v>
      </c>
      <c r="K311" s="3" t="str">
        <f t="shared" ca="1" si="94"/>
        <v>Nagaland</v>
      </c>
      <c r="L311" s="3">
        <f t="shared" ca="1" si="95"/>
        <v>98980</v>
      </c>
      <c r="M311" s="3">
        <f t="shared" ca="1" si="96"/>
        <v>692860</v>
      </c>
      <c r="N311" s="3">
        <f t="shared" ca="1" si="97"/>
        <v>499852.78663843655</v>
      </c>
      <c r="O311" s="3">
        <f t="shared" ca="1" si="98"/>
        <v>12287.819312493422</v>
      </c>
      <c r="P311" s="3">
        <f t="shared" ca="1" si="99"/>
        <v>7513.4192767718177</v>
      </c>
      <c r="Q311" s="3">
        <f t="shared" ca="1" si="100"/>
        <v>31924.114013886643</v>
      </c>
      <c r="R311" s="3">
        <f t="shared" ca="1" si="101"/>
        <v>30292.074015876249</v>
      </c>
      <c r="S311" s="3">
        <f t="shared" ca="1" si="102"/>
        <v>735439.89332836971</v>
      </c>
      <c r="T311" s="3">
        <f t="shared" ca="1" si="103"/>
        <v>539290.31992909499</v>
      </c>
      <c r="U311" s="5">
        <f t="shared" ca="1" si="104"/>
        <v>196149.57339927473</v>
      </c>
    </row>
    <row r="312" spans="1:21" x14ac:dyDescent="0.35">
      <c r="A312">
        <f t="shared" ca="1" si="86"/>
        <v>1</v>
      </c>
      <c r="B312" s="4" t="str">
        <f t="shared" ca="1" si="84"/>
        <v>M</v>
      </c>
      <c r="C312" s="3">
        <f t="shared" ca="1" si="87"/>
        <v>1</v>
      </c>
      <c r="D312" s="3">
        <f t="shared" ca="1" si="85"/>
        <v>22</v>
      </c>
      <c r="E312" s="3" t="str">
        <f t="shared" ca="1" si="88"/>
        <v>Engineering</v>
      </c>
      <c r="F312" s="3">
        <f t="shared" ca="1" si="89"/>
        <v>5</v>
      </c>
      <c r="G312" s="3" t="str">
        <f t="shared" ca="1" si="90"/>
        <v>Diploma</v>
      </c>
      <c r="H312" s="3">
        <f t="shared" ca="1" si="91"/>
        <v>0</v>
      </c>
      <c r="I312" s="3">
        <f t="shared" ca="1" si="92"/>
        <v>0</v>
      </c>
      <c r="J312" s="3">
        <f t="shared" ca="1" si="93"/>
        <v>11</v>
      </c>
      <c r="K312" s="3" t="str">
        <f t="shared" ca="1" si="94"/>
        <v>Goa</v>
      </c>
      <c r="L312" s="3">
        <f t="shared" ca="1" si="95"/>
        <v>43068</v>
      </c>
      <c r="M312" s="3">
        <f t="shared" ca="1" si="96"/>
        <v>215340</v>
      </c>
      <c r="N312" s="3">
        <f t="shared" ca="1" si="97"/>
        <v>131861.68071892497</v>
      </c>
      <c r="O312" s="3">
        <f t="shared" ca="1" si="98"/>
        <v>0</v>
      </c>
      <c r="P312" s="3">
        <f t="shared" ca="1" si="99"/>
        <v>0</v>
      </c>
      <c r="Q312" s="3">
        <f t="shared" ca="1" si="100"/>
        <v>29807.164042608565</v>
      </c>
      <c r="R312" s="3">
        <f t="shared" ca="1" si="101"/>
        <v>8630.4302768294656</v>
      </c>
      <c r="S312" s="3">
        <f t="shared" ca="1" si="102"/>
        <v>223970.43027682946</v>
      </c>
      <c r="T312" s="3">
        <f t="shared" ca="1" si="103"/>
        <v>161668.84476153355</v>
      </c>
      <c r="U312" s="5">
        <f t="shared" ca="1" si="104"/>
        <v>62301.585515295912</v>
      </c>
    </row>
    <row r="313" spans="1:21" x14ac:dyDescent="0.35">
      <c r="A313">
        <f t="shared" ca="1" si="86"/>
        <v>2</v>
      </c>
      <c r="B313" s="4" t="str">
        <f t="shared" ca="1" si="84"/>
        <v>F</v>
      </c>
      <c r="C313" s="3">
        <f t="shared" ca="1" si="87"/>
        <v>2</v>
      </c>
      <c r="D313" s="3">
        <f t="shared" ca="1" si="85"/>
        <v>28</v>
      </c>
      <c r="E313" s="3" t="str">
        <f t="shared" ca="1" si="88"/>
        <v>Healthcare</v>
      </c>
      <c r="F313" s="3">
        <f t="shared" ca="1" si="89"/>
        <v>7</v>
      </c>
      <c r="G313" s="3" t="str">
        <f t="shared" ca="1" si="90"/>
        <v>Other</v>
      </c>
      <c r="H313" s="3">
        <f t="shared" ca="1" si="91"/>
        <v>1</v>
      </c>
      <c r="I313" s="3">
        <f t="shared" ca="1" si="92"/>
        <v>0</v>
      </c>
      <c r="J313" s="3">
        <f t="shared" ca="1" si="93"/>
        <v>17</v>
      </c>
      <c r="K313" s="3" t="str">
        <f t="shared" ca="1" si="94"/>
        <v xml:space="preserve">Manipur </v>
      </c>
      <c r="L313" s="3">
        <f t="shared" ca="1" si="95"/>
        <v>37907</v>
      </c>
      <c r="M313" s="3">
        <f t="shared" ca="1" si="96"/>
        <v>227442</v>
      </c>
      <c r="N313" s="3">
        <f t="shared" ca="1" si="97"/>
        <v>139466.85296263185</v>
      </c>
      <c r="O313" s="3">
        <f t="shared" ca="1" si="98"/>
        <v>0</v>
      </c>
      <c r="P313" s="3">
        <f t="shared" ca="1" si="99"/>
        <v>0</v>
      </c>
      <c r="Q313" s="3">
        <f t="shared" ca="1" si="100"/>
        <v>15556.51111228178</v>
      </c>
      <c r="R313" s="3">
        <f t="shared" ca="1" si="101"/>
        <v>6550.6198023714132</v>
      </c>
      <c r="S313" s="3">
        <f t="shared" ca="1" si="102"/>
        <v>233992.61980237142</v>
      </c>
      <c r="T313" s="3">
        <f t="shared" ca="1" si="103"/>
        <v>155023.36407491364</v>
      </c>
      <c r="U313" s="5">
        <f t="shared" ca="1" si="104"/>
        <v>78969.255727457785</v>
      </c>
    </row>
    <row r="314" spans="1:21" x14ac:dyDescent="0.35">
      <c r="A314">
        <f t="shared" ca="1" si="86"/>
        <v>1</v>
      </c>
      <c r="B314" s="4" t="str">
        <f t="shared" ca="1" si="84"/>
        <v>M</v>
      </c>
      <c r="C314" s="3">
        <f t="shared" ca="1" si="87"/>
        <v>2</v>
      </c>
      <c r="D314" s="3">
        <f t="shared" ca="1" si="85"/>
        <v>27</v>
      </c>
      <c r="E314" s="3" t="str">
        <f t="shared" ca="1" si="88"/>
        <v>Healthcare</v>
      </c>
      <c r="F314" s="3">
        <f t="shared" ca="1" si="89"/>
        <v>3</v>
      </c>
      <c r="G314" s="3" t="str">
        <f t="shared" ca="1" si="90"/>
        <v>UG</v>
      </c>
      <c r="H314" s="3">
        <f t="shared" ca="1" si="91"/>
        <v>1</v>
      </c>
      <c r="I314" s="3">
        <f t="shared" ca="1" si="92"/>
        <v>3</v>
      </c>
      <c r="J314" s="3">
        <f t="shared" ca="1" si="93"/>
        <v>3</v>
      </c>
      <c r="K314" s="3" t="str">
        <f t="shared" ca="1" si="94"/>
        <v>Punjab</v>
      </c>
      <c r="L314" s="3">
        <f t="shared" ca="1" si="95"/>
        <v>98834</v>
      </c>
      <c r="M314" s="3">
        <f t="shared" ca="1" si="96"/>
        <v>593004</v>
      </c>
      <c r="N314" s="3">
        <f t="shared" ca="1" si="97"/>
        <v>199899.05893389945</v>
      </c>
      <c r="O314" s="3">
        <f t="shared" ca="1" si="98"/>
        <v>141772.33276246596</v>
      </c>
      <c r="P314" s="3">
        <f t="shared" ca="1" si="99"/>
        <v>64205.796826079633</v>
      </c>
      <c r="Q314" s="3">
        <f t="shared" ca="1" si="100"/>
        <v>58304.650295703475</v>
      </c>
      <c r="R314" s="3">
        <f t="shared" ca="1" si="101"/>
        <v>62828.440276023211</v>
      </c>
      <c r="S314" s="3">
        <f t="shared" ca="1" si="102"/>
        <v>797604.77303848916</v>
      </c>
      <c r="T314" s="3">
        <f t="shared" ca="1" si="103"/>
        <v>322409.50605568261</v>
      </c>
      <c r="U314" s="5">
        <f t="shared" ca="1" si="104"/>
        <v>475195.26698280656</v>
      </c>
    </row>
    <row r="315" spans="1:21" x14ac:dyDescent="0.35">
      <c r="A315">
        <f t="shared" ca="1" si="86"/>
        <v>2</v>
      </c>
      <c r="B315" s="4" t="str">
        <f t="shared" ca="1" si="84"/>
        <v>F</v>
      </c>
      <c r="C315" s="3">
        <f t="shared" ca="1" si="87"/>
        <v>1</v>
      </c>
      <c r="D315" s="3">
        <f t="shared" ca="1" si="85"/>
        <v>35</v>
      </c>
      <c r="E315" s="3" t="str">
        <f t="shared" ca="1" si="88"/>
        <v>Engineering</v>
      </c>
      <c r="F315" s="3">
        <f t="shared" ca="1" si="89"/>
        <v>6</v>
      </c>
      <c r="G315" s="3" t="str">
        <f t="shared" ca="1" si="90"/>
        <v>Doctorate</v>
      </c>
      <c r="H315" s="3">
        <f t="shared" ca="1" si="91"/>
        <v>2</v>
      </c>
      <c r="I315" s="3">
        <f t="shared" ca="1" si="92"/>
        <v>3</v>
      </c>
      <c r="J315" s="3">
        <f t="shared" ca="1" si="93"/>
        <v>10</v>
      </c>
      <c r="K315" s="3" t="str">
        <f t="shared" ca="1" si="94"/>
        <v>Gujarat</v>
      </c>
      <c r="L315" s="3">
        <f t="shared" ca="1" si="95"/>
        <v>96906</v>
      </c>
      <c r="M315" s="3">
        <f t="shared" ca="1" si="96"/>
        <v>872154</v>
      </c>
      <c r="N315" s="3">
        <f t="shared" ca="1" si="97"/>
        <v>843779.0797877796</v>
      </c>
      <c r="O315" s="3">
        <f t="shared" ca="1" si="98"/>
        <v>249514.95532589901</v>
      </c>
      <c r="P315" s="3">
        <f t="shared" ca="1" si="99"/>
        <v>194828.06222448955</v>
      </c>
      <c r="Q315" s="3">
        <f t="shared" ca="1" si="100"/>
        <v>74052.324536260028</v>
      </c>
      <c r="R315" s="3">
        <f t="shared" ca="1" si="101"/>
        <v>33983.848265210501</v>
      </c>
      <c r="S315" s="3">
        <f t="shared" ca="1" si="102"/>
        <v>1155652.8035911093</v>
      </c>
      <c r="T315" s="3">
        <f t="shared" ca="1" si="103"/>
        <v>1112659.4665485292</v>
      </c>
      <c r="U315" s="5">
        <f t="shared" ca="1" si="104"/>
        <v>42993.337042580126</v>
      </c>
    </row>
    <row r="316" spans="1:21" x14ac:dyDescent="0.35">
      <c r="A316">
        <f t="shared" ca="1" si="86"/>
        <v>1</v>
      </c>
      <c r="B316" s="4" t="str">
        <f t="shared" ca="1" si="84"/>
        <v>M</v>
      </c>
      <c r="C316" s="3">
        <f t="shared" ca="1" si="87"/>
        <v>4</v>
      </c>
      <c r="D316" s="3">
        <f t="shared" ca="1" si="85"/>
        <v>23</v>
      </c>
      <c r="E316" s="3" t="str">
        <f t="shared" ca="1" si="88"/>
        <v>Accounting</v>
      </c>
      <c r="F316" s="3">
        <f t="shared" ca="1" si="89"/>
        <v>7</v>
      </c>
      <c r="G316" s="3" t="str">
        <f t="shared" ca="1" si="90"/>
        <v>Other</v>
      </c>
      <c r="H316" s="3">
        <f t="shared" ca="1" si="91"/>
        <v>0</v>
      </c>
      <c r="I316" s="3">
        <f t="shared" ca="1" si="92"/>
        <v>3</v>
      </c>
      <c r="J316" s="3">
        <f t="shared" ca="1" si="93"/>
        <v>3</v>
      </c>
      <c r="K316" s="3" t="str">
        <f t="shared" ca="1" si="94"/>
        <v>Punjab</v>
      </c>
      <c r="L316" s="3">
        <f t="shared" ca="1" si="95"/>
        <v>86084</v>
      </c>
      <c r="M316" s="3">
        <f t="shared" ca="1" si="96"/>
        <v>430420</v>
      </c>
      <c r="N316" s="3">
        <f t="shared" ca="1" si="97"/>
        <v>112686.85854348766</v>
      </c>
      <c r="O316" s="3">
        <f t="shared" ca="1" si="98"/>
        <v>257417.49788070336</v>
      </c>
      <c r="P316" s="3">
        <f t="shared" ca="1" si="99"/>
        <v>235866.72590992044</v>
      </c>
      <c r="Q316" s="3">
        <f t="shared" ca="1" si="100"/>
        <v>68067.74169913985</v>
      </c>
      <c r="R316" s="3">
        <f t="shared" ca="1" si="101"/>
        <v>79100.633751415255</v>
      </c>
      <c r="S316" s="3">
        <f t="shared" ca="1" si="102"/>
        <v>766938.1316321186</v>
      </c>
      <c r="T316" s="3">
        <f t="shared" ca="1" si="103"/>
        <v>416621.32615254796</v>
      </c>
      <c r="U316" s="5">
        <f t="shared" ca="1" si="104"/>
        <v>350316.80547957064</v>
      </c>
    </row>
    <row r="317" spans="1:21" x14ac:dyDescent="0.35">
      <c r="A317">
        <f t="shared" ca="1" si="86"/>
        <v>1</v>
      </c>
      <c r="B317" s="4" t="str">
        <f t="shared" ca="1" si="84"/>
        <v>M</v>
      </c>
      <c r="C317" s="3">
        <f t="shared" ca="1" si="87"/>
        <v>5</v>
      </c>
      <c r="D317" s="3">
        <f t="shared" ca="1" si="85"/>
        <v>18</v>
      </c>
      <c r="E317" s="3" t="str">
        <f t="shared" ca="1" si="88"/>
        <v>Research</v>
      </c>
      <c r="F317" s="3">
        <f t="shared" ca="1" si="89"/>
        <v>2</v>
      </c>
      <c r="G317" s="3" t="str">
        <f t="shared" ca="1" si="90"/>
        <v>Senior Secondary</v>
      </c>
      <c r="H317" s="3">
        <f t="shared" ca="1" si="91"/>
        <v>4</v>
      </c>
      <c r="I317" s="3">
        <f t="shared" ca="1" si="92"/>
        <v>0</v>
      </c>
      <c r="J317" s="3">
        <f t="shared" ca="1" si="93"/>
        <v>23</v>
      </c>
      <c r="K317" s="3" t="str">
        <f t="shared" ca="1" si="94"/>
        <v>Sikkim</v>
      </c>
      <c r="L317" s="3">
        <f t="shared" ca="1" si="95"/>
        <v>34134</v>
      </c>
      <c r="M317" s="3">
        <f t="shared" ca="1" si="96"/>
        <v>273072</v>
      </c>
      <c r="N317" s="3">
        <f t="shared" ca="1" si="97"/>
        <v>150052.9134392729</v>
      </c>
      <c r="O317" s="3">
        <f t="shared" ca="1" si="98"/>
        <v>0</v>
      </c>
      <c r="P317" s="3">
        <f t="shared" ca="1" si="99"/>
        <v>0</v>
      </c>
      <c r="Q317" s="3">
        <f t="shared" ca="1" si="100"/>
        <v>33804.132226187423</v>
      </c>
      <c r="R317" s="3">
        <f t="shared" ca="1" si="101"/>
        <v>31812.453455022252</v>
      </c>
      <c r="S317" s="3">
        <f t="shared" ca="1" si="102"/>
        <v>304884.45345502225</v>
      </c>
      <c r="T317" s="3">
        <f t="shared" ca="1" si="103"/>
        <v>183857.04566546032</v>
      </c>
      <c r="U317" s="5">
        <f t="shared" ca="1" si="104"/>
        <v>121027.40778956193</v>
      </c>
    </row>
    <row r="318" spans="1:21" x14ac:dyDescent="0.35">
      <c r="A318">
        <f t="shared" ca="1" si="86"/>
        <v>1</v>
      </c>
      <c r="B318" s="4" t="str">
        <f t="shared" ca="1" si="84"/>
        <v>M</v>
      </c>
      <c r="C318" s="3">
        <f t="shared" ca="1" si="87"/>
        <v>7</v>
      </c>
      <c r="D318" s="3">
        <f t="shared" ca="1" si="85"/>
        <v>29</v>
      </c>
      <c r="E318" s="3" t="str">
        <f t="shared" ca="1" si="88"/>
        <v>Other</v>
      </c>
      <c r="F318" s="3">
        <f t="shared" ca="1" si="89"/>
        <v>4</v>
      </c>
      <c r="G318" s="3" t="str">
        <f t="shared" ca="1" si="90"/>
        <v>PG</v>
      </c>
      <c r="H318" s="3">
        <f t="shared" ca="1" si="91"/>
        <v>2</v>
      </c>
      <c r="I318" s="3">
        <f t="shared" ca="1" si="92"/>
        <v>2</v>
      </c>
      <c r="J318" s="3">
        <f t="shared" ca="1" si="93"/>
        <v>12</v>
      </c>
      <c r="K318" s="3" t="str">
        <f t="shared" ca="1" si="94"/>
        <v>Himachal Pradesh</v>
      </c>
      <c r="L318" s="3">
        <f t="shared" ca="1" si="95"/>
        <v>48721</v>
      </c>
      <c r="M318" s="3">
        <f t="shared" ca="1" si="96"/>
        <v>438489</v>
      </c>
      <c r="N318" s="3">
        <f t="shared" ca="1" si="97"/>
        <v>347621.99545559107</v>
      </c>
      <c r="O318" s="3">
        <f t="shared" ca="1" si="98"/>
        <v>72149.937875499294</v>
      </c>
      <c r="P318" s="3">
        <f t="shared" ca="1" si="99"/>
        <v>52853.45466870501</v>
      </c>
      <c r="Q318" s="3">
        <f t="shared" ca="1" si="100"/>
        <v>18446.595578951958</v>
      </c>
      <c r="R318" s="3">
        <f t="shared" ca="1" si="101"/>
        <v>5904.0802120237913</v>
      </c>
      <c r="S318" s="3">
        <f t="shared" ca="1" si="102"/>
        <v>516543.01808752312</v>
      </c>
      <c r="T318" s="3">
        <f t="shared" ca="1" si="103"/>
        <v>418922.045703248</v>
      </c>
      <c r="U318" s="5">
        <f t="shared" ca="1" si="104"/>
        <v>97620.972384275112</v>
      </c>
    </row>
    <row r="319" spans="1:21" x14ac:dyDescent="0.35">
      <c r="A319">
        <f t="shared" ca="1" si="86"/>
        <v>2</v>
      </c>
      <c r="B319" s="4" t="str">
        <f t="shared" ca="1" si="84"/>
        <v>F</v>
      </c>
      <c r="C319" s="3">
        <f t="shared" ca="1" si="87"/>
        <v>5</v>
      </c>
      <c r="D319" s="3">
        <f t="shared" ca="1" si="85"/>
        <v>34</v>
      </c>
      <c r="E319" s="3" t="str">
        <f t="shared" ca="1" si="88"/>
        <v>Research</v>
      </c>
      <c r="F319" s="3">
        <f t="shared" ca="1" si="89"/>
        <v>3</v>
      </c>
      <c r="G319" s="3" t="str">
        <f t="shared" ca="1" si="90"/>
        <v>UG</v>
      </c>
      <c r="H319" s="3">
        <f t="shared" ca="1" si="91"/>
        <v>2</v>
      </c>
      <c r="I319" s="3">
        <f t="shared" ca="1" si="92"/>
        <v>3</v>
      </c>
      <c r="J319" s="3">
        <f t="shared" ca="1" si="93"/>
        <v>15</v>
      </c>
      <c r="K319" s="3" t="str">
        <f t="shared" ca="1" si="94"/>
        <v>Kerela</v>
      </c>
      <c r="L319" s="3">
        <f t="shared" ca="1" si="95"/>
        <v>71273</v>
      </c>
      <c r="M319" s="3">
        <f t="shared" ca="1" si="96"/>
        <v>427638</v>
      </c>
      <c r="N319" s="3">
        <f t="shared" ca="1" si="97"/>
        <v>145614.64137123915</v>
      </c>
      <c r="O319" s="3">
        <f t="shared" ca="1" si="98"/>
        <v>21556.239563469375</v>
      </c>
      <c r="P319" s="3">
        <f t="shared" ca="1" si="99"/>
        <v>12514.937516389527</v>
      </c>
      <c r="Q319" s="3">
        <f t="shared" ca="1" si="100"/>
        <v>5996.474702025017</v>
      </c>
      <c r="R319" s="3">
        <f t="shared" ca="1" si="101"/>
        <v>7774.6442726767309</v>
      </c>
      <c r="S319" s="3">
        <f t="shared" ca="1" si="102"/>
        <v>456968.88383614609</v>
      </c>
      <c r="T319" s="3">
        <f t="shared" ca="1" si="103"/>
        <v>164126.05358965369</v>
      </c>
      <c r="U319" s="5">
        <f t="shared" ca="1" si="104"/>
        <v>292842.83024649241</v>
      </c>
    </row>
    <row r="320" spans="1:21" x14ac:dyDescent="0.35">
      <c r="A320">
        <f t="shared" ca="1" si="86"/>
        <v>2</v>
      </c>
      <c r="B320" s="4" t="str">
        <f t="shared" ca="1" si="84"/>
        <v>F</v>
      </c>
      <c r="C320" s="3">
        <f t="shared" ca="1" si="87"/>
        <v>5</v>
      </c>
      <c r="D320" s="3">
        <f t="shared" ca="1" si="85"/>
        <v>33</v>
      </c>
      <c r="E320" s="3" t="str">
        <f t="shared" ca="1" si="88"/>
        <v>Research</v>
      </c>
      <c r="F320" s="3">
        <f t="shared" ca="1" si="89"/>
        <v>4</v>
      </c>
      <c r="G320" s="3" t="str">
        <f t="shared" ca="1" si="90"/>
        <v>PG</v>
      </c>
      <c r="H320" s="3">
        <f t="shared" ca="1" si="91"/>
        <v>3</v>
      </c>
      <c r="I320" s="3">
        <f t="shared" ca="1" si="92"/>
        <v>2</v>
      </c>
      <c r="J320" s="3">
        <f t="shared" ca="1" si="93"/>
        <v>16</v>
      </c>
      <c r="K320" s="3" t="str">
        <f t="shared" ca="1" si="94"/>
        <v>Madhya Pradesh</v>
      </c>
      <c r="L320" s="3">
        <f t="shared" ca="1" si="95"/>
        <v>39437</v>
      </c>
      <c r="M320" s="3">
        <f t="shared" ca="1" si="96"/>
        <v>354933</v>
      </c>
      <c r="N320" s="3">
        <f t="shared" ca="1" si="97"/>
        <v>75060.460809482844</v>
      </c>
      <c r="O320" s="3">
        <f t="shared" ca="1" si="98"/>
        <v>21919.424868380618</v>
      </c>
      <c r="P320" s="3">
        <f t="shared" ca="1" si="99"/>
        <v>7237.273267985026</v>
      </c>
      <c r="Q320" s="3">
        <f t="shared" ca="1" si="100"/>
        <v>14094.495713488343</v>
      </c>
      <c r="R320" s="3">
        <f t="shared" ca="1" si="101"/>
        <v>10837.512523947356</v>
      </c>
      <c r="S320" s="3">
        <f t="shared" ca="1" si="102"/>
        <v>387689.93739232793</v>
      </c>
      <c r="T320" s="3">
        <f t="shared" ca="1" si="103"/>
        <v>96392.229790956218</v>
      </c>
      <c r="U320" s="5">
        <f t="shared" ca="1" si="104"/>
        <v>291297.70760137169</v>
      </c>
    </row>
    <row r="321" spans="1:21" x14ac:dyDescent="0.35">
      <c r="A321">
        <f t="shared" ca="1" si="86"/>
        <v>1</v>
      </c>
      <c r="B321" s="4" t="str">
        <f t="shared" ca="1" si="84"/>
        <v>M</v>
      </c>
      <c r="C321" s="3">
        <f t="shared" ca="1" si="87"/>
        <v>6</v>
      </c>
      <c r="D321" s="3">
        <f t="shared" ca="1" si="85"/>
        <v>38</v>
      </c>
      <c r="E321" s="3" t="str">
        <f t="shared" ca="1" si="88"/>
        <v>Art</v>
      </c>
      <c r="F321" s="3">
        <f t="shared" ca="1" si="89"/>
        <v>7</v>
      </c>
      <c r="G321" s="3" t="str">
        <f t="shared" ca="1" si="90"/>
        <v>Other</v>
      </c>
      <c r="H321" s="3">
        <f t="shared" ca="1" si="91"/>
        <v>3</v>
      </c>
      <c r="I321" s="3">
        <f t="shared" ca="1" si="92"/>
        <v>2</v>
      </c>
      <c r="J321" s="3">
        <f t="shared" ca="1" si="93"/>
        <v>20</v>
      </c>
      <c r="K321" s="3" t="str">
        <f t="shared" ca="1" si="94"/>
        <v>Nagaland</v>
      </c>
      <c r="L321" s="3">
        <f t="shared" ca="1" si="95"/>
        <v>89398</v>
      </c>
      <c r="M321" s="3">
        <f t="shared" ca="1" si="96"/>
        <v>804582</v>
      </c>
      <c r="N321" s="3">
        <f t="shared" ca="1" si="97"/>
        <v>125864.50220192938</v>
      </c>
      <c r="O321" s="3">
        <f t="shared" ca="1" si="98"/>
        <v>38467.322148689651</v>
      </c>
      <c r="P321" s="3">
        <f t="shared" ca="1" si="99"/>
        <v>19743.96477678424</v>
      </c>
      <c r="Q321" s="3">
        <f t="shared" ca="1" si="100"/>
        <v>26133.162613736644</v>
      </c>
      <c r="R321" s="3">
        <f t="shared" ca="1" si="101"/>
        <v>28146.953552709041</v>
      </c>
      <c r="S321" s="3">
        <f t="shared" ca="1" si="102"/>
        <v>871196.27570139873</v>
      </c>
      <c r="T321" s="3">
        <f t="shared" ca="1" si="103"/>
        <v>171741.62959245028</v>
      </c>
      <c r="U321" s="5">
        <f t="shared" ca="1" si="104"/>
        <v>699454.64610894839</v>
      </c>
    </row>
    <row r="322" spans="1:21" x14ac:dyDescent="0.35">
      <c r="A322">
        <f t="shared" ca="1" si="86"/>
        <v>1</v>
      </c>
      <c r="B322" s="4" t="str">
        <f t="shared" ca="1" si="84"/>
        <v>M</v>
      </c>
      <c r="C322" s="3">
        <f t="shared" ca="1" si="87"/>
        <v>3</v>
      </c>
      <c r="D322" s="3">
        <f t="shared" ca="1" si="85"/>
        <v>28</v>
      </c>
      <c r="E322" s="3" t="str">
        <f t="shared" ca="1" si="88"/>
        <v>IT</v>
      </c>
      <c r="F322" s="3">
        <f t="shared" ca="1" si="89"/>
        <v>3</v>
      </c>
      <c r="G322" s="3" t="str">
        <f t="shared" ca="1" si="90"/>
        <v>UG</v>
      </c>
      <c r="H322" s="3">
        <f t="shared" ca="1" si="91"/>
        <v>3</v>
      </c>
      <c r="I322" s="3">
        <f t="shared" ca="1" si="92"/>
        <v>0</v>
      </c>
      <c r="J322" s="3">
        <f t="shared" ca="1" si="93"/>
        <v>17</v>
      </c>
      <c r="K322" s="3" t="str">
        <f t="shared" ca="1" si="94"/>
        <v xml:space="preserve">Manipur </v>
      </c>
      <c r="L322" s="3">
        <f t="shared" ca="1" si="95"/>
        <v>83107</v>
      </c>
      <c r="M322" s="3">
        <f t="shared" ca="1" si="96"/>
        <v>664856</v>
      </c>
      <c r="N322" s="3">
        <f t="shared" ca="1" si="97"/>
        <v>247092.18006187116</v>
      </c>
      <c r="O322" s="3">
        <f t="shared" ca="1" si="98"/>
        <v>0</v>
      </c>
      <c r="P322" s="3">
        <f t="shared" ca="1" si="99"/>
        <v>0</v>
      </c>
      <c r="Q322" s="3">
        <f t="shared" ca="1" si="100"/>
        <v>39129.123787256794</v>
      </c>
      <c r="R322" s="3">
        <f t="shared" ca="1" si="101"/>
        <v>13623.434521844263</v>
      </c>
      <c r="S322" s="3">
        <f t="shared" ca="1" si="102"/>
        <v>678479.43452184426</v>
      </c>
      <c r="T322" s="3">
        <f t="shared" ca="1" si="103"/>
        <v>286221.30384912796</v>
      </c>
      <c r="U322" s="5">
        <f t="shared" ca="1" si="104"/>
        <v>392258.1306727163</v>
      </c>
    </row>
    <row r="323" spans="1:21" x14ac:dyDescent="0.35">
      <c r="A323">
        <f t="shared" ca="1" si="86"/>
        <v>2</v>
      </c>
      <c r="B323" s="4" t="str">
        <f t="shared" ca="1" si="84"/>
        <v>F</v>
      </c>
      <c r="C323" s="3">
        <f t="shared" ca="1" si="87"/>
        <v>3</v>
      </c>
      <c r="D323" s="3">
        <f t="shared" ca="1" si="85"/>
        <v>36</v>
      </c>
      <c r="E323" s="3" t="str">
        <f t="shared" ca="1" si="88"/>
        <v>IT</v>
      </c>
      <c r="F323" s="3">
        <f t="shared" ca="1" si="89"/>
        <v>1</v>
      </c>
      <c r="G323" s="3" t="str">
        <f t="shared" ca="1" si="90"/>
        <v>Secondary</v>
      </c>
      <c r="H323" s="3">
        <f t="shared" ca="1" si="91"/>
        <v>3</v>
      </c>
      <c r="I323" s="3">
        <f t="shared" ca="1" si="92"/>
        <v>1</v>
      </c>
      <c r="J323" s="3">
        <f t="shared" ca="1" si="93"/>
        <v>12</v>
      </c>
      <c r="K323" s="3" t="str">
        <f t="shared" ca="1" si="94"/>
        <v>Himachal Pradesh</v>
      </c>
      <c r="L323" s="3">
        <f t="shared" ca="1" si="95"/>
        <v>32362</v>
      </c>
      <c r="M323" s="3">
        <f t="shared" ca="1" si="96"/>
        <v>161810</v>
      </c>
      <c r="N323" s="3">
        <f t="shared" ca="1" si="97"/>
        <v>29387.540466832615</v>
      </c>
      <c r="O323" s="3">
        <f t="shared" ca="1" si="98"/>
        <v>7649.6902879741301</v>
      </c>
      <c r="P323" s="3">
        <f t="shared" ca="1" si="99"/>
        <v>508.97481866794953</v>
      </c>
      <c r="Q323" s="3">
        <f t="shared" ca="1" si="100"/>
        <v>8686.2804160977194</v>
      </c>
      <c r="R323" s="3">
        <f t="shared" ca="1" si="101"/>
        <v>22099.911773161879</v>
      </c>
      <c r="S323" s="3">
        <f t="shared" ca="1" si="102"/>
        <v>191559.60206113601</v>
      </c>
      <c r="T323" s="3">
        <f t="shared" ca="1" si="103"/>
        <v>38582.795701598283</v>
      </c>
      <c r="U323" s="5">
        <f t="shared" ca="1" si="104"/>
        <v>152976.80635953773</v>
      </c>
    </row>
    <row r="324" spans="1:21" x14ac:dyDescent="0.35">
      <c r="A324">
        <f t="shared" ca="1" si="86"/>
        <v>2</v>
      </c>
      <c r="B324" s="4" t="str">
        <f t="shared" ca="1" si="84"/>
        <v>F</v>
      </c>
      <c r="C324" s="3">
        <f t="shared" ca="1" si="87"/>
        <v>3</v>
      </c>
      <c r="D324" s="3">
        <f t="shared" ca="1" si="85"/>
        <v>39</v>
      </c>
      <c r="E324" s="3" t="str">
        <f t="shared" ca="1" si="88"/>
        <v>IT</v>
      </c>
      <c r="F324" s="3">
        <f t="shared" ca="1" si="89"/>
        <v>6</v>
      </c>
      <c r="G324" s="3" t="str">
        <f t="shared" ca="1" si="90"/>
        <v>Doctorate</v>
      </c>
      <c r="H324" s="3">
        <f t="shared" ca="1" si="91"/>
        <v>4</v>
      </c>
      <c r="I324" s="3">
        <f t="shared" ca="1" si="92"/>
        <v>2</v>
      </c>
      <c r="J324" s="3">
        <f t="shared" ca="1" si="93"/>
        <v>20</v>
      </c>
      <c r="K324" s="3" t="str">
        <f t="shared" ca="1" si="94"/>
        <v>Nagaland</v>
      </c>
      <c r="L324" s="3">
        <f t="shared" ca="1" si="95"/>
        <v>98802</v>
      </c>
      <c r="M324" s="3">
        <f t="shared" ca="1" si="96"/>
        <v>889218</v>
      </c>
      <c r="N324" s="3">
        <f t="shared" ca="1" si="97"/>
        <v>731957.08457291231</v>
      </c>
      <c r="O324" s="3">
        <f t="shared" ca="1" si="98"/>
        <v>102867.01708033701</v>
      </c>
      <c r="P324" s="3">
        <f t="shared" ca="1" si="99"/>
        <v>88227.555219703412</v>
      </c>
      <c r="Q324" s="3">
        <f t="shared" ca="1" si="100"/>
        <v>83971.169548197548</v>
      </c>
      <c r="R324" s="3">
        <f t="shared" ca="1" si="101"/>
        <v>69814.827637404116</v>
      </c>
      <c r="S324" s="3">
        <f t="shared" ca="1" si="102"/>
        <v>1061899.8447177412</v>
      </c>
      <c r="T324" s="3">
        <f t="shared" ca="1" si="103"/>
        <v>904155.80934081331</v>
      </c>
      <c r="U324" s="5">
        <f t="shared" ca="1" si="104"/>
        <v>157744.03537692793</v>
      </c>
    </row>
    <row r="325" spans="1:21" x14ac:dyDescent="0.35">
      <c r="A325">
        <f t="shared" ca="1" si="86"/>
        <v>1</v>
      </c>
      <c r="B325" s="4" t="str">
        <f t="shared" ca="1" si="84"/>
        <v>M</v>
      </c>
      <c r="C325" s="3">
        <f t="shared" ca="1" si="87"/>
        <v>5</v>
      </c>
      <c r="D325" s="3">
        <f t="shared" ca="1" si="85"/>
        <v>37</v>
      </c>
      <c r="E325" s="3" t="str">
        <f t="shared" ca="1" si="88"/>
        <v>Research</v>
      </c>
      <c r="F325" s="3">
        <f t="shared" ca="1" si="89"/>
        <v>7</v>
      </c>
      <c r="G325" s="3" t="str">
        <f t="shared" ca="1" si="90"/>
        <v>Other</v>
      </c>
      <c r="H325" s="3">
        <f t="shared" ca="1" si="91"/>
        <v>3</v>
      </c>
      <c r="I325" s="3">
        <f t="shared" ca="1" si="92"/>
        <v>3</v>
      </c>
      <c r="J325" s="3">
        <f t="shared" ca="1" si="93"/>
        <v>7</v>
      </c>
      <c r="K325" s="3" t="str">
        <f t="shared" ca="1" si="94"/>
        <v>Assam</v>
      </c>
      <c r="L325" s="3">
        <f t="shared" ca="1" si="95"/>
        <v>81399</v>
      </c>
      <c r="M325" s="3">
        <f t="shared" ca="1" si="96"/>
        <v>569793</v>
      </c>
      <c r="N325" s="3">
        <f t="shared" ca="1" si="97"/>
        <v>459790.03144965472</v>
      </c>
      <c r="O325" s="3">
        <f t="shared" ca="1" si="98"/>
        <v>33858.04100079646</v>
      </c>
      <c r="P325" s="3">
        <f t="shared" ca="1" si="99"/>
        <v>30020.890004536839</v>
      </c>
      <c r="Q325" s="3">
        <f t="shared" ca="1" si="100"/>
        <v>3648.1956177864222</v>
      </c>
      <c r="R325" s="3">
        <f t="shared" ca="1" si="101"/>
        <v>70810.800565727361</v>
      </c>
      <c r="S325" s="3">
        <f t="shared" ca="1" si="102"/>
        <v>674461.84156652389</v>
      </c>
      <c r="T325" s="3">
        <f t="shared" ca="1" si="103"/>
        <v>493459.11707197799</v>
      </c>
      <c r="U325" s="5">
        <f t="shared" ca="1" si="104"/>
        <v>181002.7244945459</v>
      </c>
    </row>
    <row r="326" spans="1:21" x14ac:dyDescent="0.35">
      <c r="A326">
        <f t="shared" ca="1" si="86"/>
        <v>1</v>
      </c>
      <c r="B326" s="4" t="str">
        <f t="shared" ca="1" si="84"/>
        <v>M</v>
      </c>
      <c r="C326" s="3">
        <f t="shared" ca="1" si="87"/>
        <v>6</v>
      </c>
      <c r="D326" s="3">
        <f t="shared" ca="1" si="85"/>
        <v>20</v>
      </c>
      <c r="E326" s="3" t="str">
        <f t="shared" ca="1" si="88"/>
        <v>Art</v>
      </c>
      <c r="F326" s="3">
        <f t="shared" ca="1" si="89"/>
        <v>2</v>
      </c>
      <c r="G326" s="3" t="str">
        <f t="shared" ca="1" si="90"/>
        <v>Senior Secondary</v>
      </c>
      <c r="H326" s="3">
        <f t="shared" ca="1" si="91"/>
        <v>4</v>
      </c>
      <c r="I326" s="3">
        <f t="shared" ca="1" si="92"/>
        <v>1</v>
      </c>
      <c r="J326" s="3">
        <f t="shared" ca="1" si="93"/>
        <v>3</v>
      </c>
      <c r="K326" s="3" t="str">
        <f t="shared" ca="1" si="94"/>
        <v>Punjab</v>
      </c>
      <c r="L326" s="3">
        <f t="shared" ca="1" si="95"/>
        <v>37747</v>
      </c>
      <c r="M326" s="3">
        <f t="shared" ca="1" si="96"/>
        <v>339723</v>
      </c>
      <c r="N326" s="3">
        <f t="shared" ca="1" si="97"/>
        <v>199366.93632871058</v>
      </c>
      <c r="O326" s="3">
        <f t="shared" ca="1" si="98"/>
        <v>7527.4731128759377</v>
      </c>
      <c r="P326" s="3">
        <f t="shared" ca="1" si="99"/>
        <v>1041.756430145871</v>
      </c>
      <c r="Q326" s="3">
        <f t="shared" ca="1" si="100"/>
        <v>2799.009785843944</v>
      </c>
      <c r="R326" s="3">
        <f t="shared" ca="1" si="101"/>
        <v>7682.6388343579201</v>
      </c>
      <c r="S326" s="3">
        <f t="shared" ca="1" si="102"/>
        <v>354933.11194723385</v>
      </c>
      <c r="T326" s="3">
        <f t="shared" ca="1" si="103"/>
        <v>203207.70254470041</v>
      </c>
      <c r="U326" s="5">
        <f t="shared" ca="1" si="104"/>
        <v>151725.40940253343</v>
      </c>
    </row>
    <row r="327" spans="1:21" x14ac:dyDescent="0.35">
      <c r="A327">
        <f t="shared" ca="1" si="86"/>
        <v>1</v>
      </c>
      <c r="B327" s="4" t="str">
        <f t="shared" ref="B327:B390" ca="1" si="105">IF(A327=1,"M","F")</f>
        <v>M</v>
      </c>
      <c r="C327" s="3">
        <f t="shared" ca="1" si="87"/>
        <v>5</v>
      </c>
      <c r="D327" s="3">
        <f t="shared" ref="D327:D390" ca="1" si="106">RANDBETWEEN(18,45)</f>
        <v>43</v>
      </c>
      <c r="E327" s="3" t="str">
        <f t="shared" ca="1" si="88"/>
        <v>Research</v>
      </c>
      <c r="F327" s="3">
        <f t="shared" ca="1" si="89"/>
        <v>2</v>
      </c>
      <c r="G327" s="3" t="str">
        <f t="shared" ca="1" si="90"/>
        <v>Senior Secondary</v>
      </c>
      <c r="H327" s="3">
        <f t="shared" ca="1" si="91"/>
        <v>2</v>
      </c>
      <c r="I327" s="3">
        <f t="shared" ca="1" si="92"/>
        <v>1</v>
      </c>
      <c r="J327" s="3">
        <f t="shared" ca="1" si="93"/>
        <v>18</v>
      </c>
      <c r="K327" s="3" t="str">
        <f t="shared" ca="1" si="94"/>
        <v>Meghalya</v>
      </c>
      <c r="L327" s="3">
        <f t="shared" ca="1" si="95"/>
        <v>80418</v>
      </c>
      <c r="M327" s="3">
        <f t="shared" ca="1" si="96"/>
        <v>482508</v>
      </c>
      <c r="N327" s="3">
        <f t="shared" ca="1" si="97"/>
        <v>27150.044176115571</v>
      </c>
      <c r="O327" s="3">
        <f t="shared" ca="1" si="98"/>
        <v>56836.10973541093</v>
      </c>
      <c r="P327" s="3">
        <f t="shared" ca="1" si="99"/>
        <v>47229.515641058199</v>
      </c>
      <c r="Q327" s="3">
        <f t="shared" ca="1" si="100"/>
        <v>13208.31786214613</v>
      </c>
      <c r="R327" s="3">
        <f t="shared" ca="1" si="101"/>
        <v>39782.981100471639</v>
      </c>
      <c r="S327" s="3">
        <f t="shared" ca="1" si="102"/>
        <v>579127.09083588258</v>
      </c>
      <c r="T327" s="3">
        <f t="shared" ca="1" si="103"/>
        <v>87587.877679319892</v>
      </c>
      <c r="U327" s="5">
        <f t="shared" ca="1" si="104"/>
        <v>491539.21315656271</v>
      </c>
    </row>
    <row r="328" spans="1:21" x14ac:dyDescent="0.35">
      <c r="A328">
        <f t="shared" ref="A328:A391" ca="1" si="107">RANDBETWEEN(1,2)</f>
        <v>2</v>
      </c>
      <c r="B328" s="4" t="str">
        <f t="shared" ca="1" si="105"/>
        <v>F</v>
      </c>
      <c r="C328" s="3">
        <f t="shared" ref="C328:C391" ca="1" si="108">RANDBETWEEN(1,7)</f>
        <v>7</v>
      </c>
      <c r="D328" s="3">
        <f t="shared" ca="1" si="106"/>
        <v>20</v>
      </c>
      <c r="E328" s="3" t="str">
        <f t="shared" ref="E328:E391" ca="1" si="109">VLOOKUP(C328,$Y$7:$Z$13,2)</f>
        <v>Other</v>
      </c>
      <c r="F328" s="3">
        <f t="shared" ref="F328:F391" ca="1" si="110">RANDBETWEEN(1,7)</f>
        <v>1</v>
      </c>
      <c r="G328" s="3" t="str">
        <f t="shared" ref="G328:G391" ca="1" si="111">VLOOKUP(F328,$AB$7:$AC$13,2)</f>
        <v>Secondary</v>
      </c>
      <c r="H328" s="3">
        <f t="shared" ref="H328:H391" ca="1" si="112">RANDBETWEEN(0,4)</f>
        <v>4</v>
      </c>
      <c r="I328" s="3">
        <f t="shared" ref="I328:I391" ca="1" si="113">RANDBETWEEN(0,3)</f>
        <v>2</v>
      </c>
      <c r="J328" s="3">
        <f t="shared" ref="J328:J391" ca="1" si="114">RANDBETWEEN(1,28)</f>
        <v>14</v>
      </c>
      <c r="K328" s="3" t="str">
        <f t="shared" ref="K328:K391" ca="1" si="115">VLOOKUP(J328,$AE$7:$AF$34,2)</f>
        <v>Karnataka</v>
      </c>
      <c r="L328" s="3">
        <f t="shared" ref="L328:L391" ca="1" si="116">RANDBETWEEN(25000,99000)</f>
        <v>70414</v>
      </c>
      <c r="M328" s="3">
        <f t="shared" ref="M328:M391" ca="1" si="117">L328*RANDBETWEEN(5,9)</f>
        <v>633726</v>
      </c>
      <c r="N328" s="3">
        <f t="shared" ref="N328:N391" ca="1" si="118">RAND()*M328</f>
        <v>354977.08190743125</v>
      </c>
      <c r="O328" s="3">
        <f t="shared" ref="O328:O391" ca="1" si="119">RAND()*I328*L328</f>
        <v>11094.251650330563</v>
      </c>
      <c r="P328" s="3">
        <f t="shared" ref="P328:P391" ca="1" si="120">O328*RAND()</f>
        <v>9035.146422466385</v>
      </c>
      <c r="Q328" s="3">
        <f t="shared" ref="Q328:Q391" ca="1" si="121">RAND()*L328</f>
        <v>42697.396059944746</v>
      </c>
      <c r="R328" s="3">
        <f t="shared" ref="R328:R391" ca="1" si="122">RAND()*L328</f>
        <v>66549.281285104895</v>
      </c>
      <c r="S328" s="3">
        <f t="shared" ref="S328:S391" ca="1" si="123">M328+O328+R328</f>
        <v>711369.53293543553</v>
      </c>
      <c r="T328" s="3">
        <f t="shared" ref="T328:T391" ca="1" si="124">N328+P328+Q328</f>
        <v>406709.62438984239</v>
      </c>
      <c r="U328" s="5">
        <f t="shared" ref="U328:U391" ca="1" si="125">S328-T328</f>
        <v>304659.90854559315</v>
      </c>
    </row>
    <row r="329" spans="1:21" x14ac:dyDescent="0.35">
      <c r="A329">
        <f t="shared" ca="1" si="107"/>
        <v>2</v>
      </c>
      <c r="B329" s="4" t="str">
        <f t="shared" ca="1" si="105"/>
        <v>F</v>
      </c>
      <c r="C329" s="3">
        <f t="shared" ca="1" si="108"/>
        <v>5</v>
      </c>
      <c r="D329" s="3">
        <f t="shared" ca="1" si="106"/>
        <v>37</v>
      </c>
      <c r="E329" s="3" t="str">
        <f t="shared" ca="1" si="109"/>
        <v>Research</v>
      </c>
      <c r="F329" s="3">
        <f t="shared" ca="1" si="110"/>
        <v>5</v>
      </c>
      <c r="G329" s="3" t="str">
        <f t="shared" ca="1" si="111"/>
        <v>Diploma</v>
      </c>
      <c r="H329" s="3">
        <f t="shared" ca="1" si="112"/>
        <v>3</v>
      </c>
      <c r="I329" s="3">
        <f t="shared" ca="1" si="113"/>
        <v>3</v>
      </c>
      <c r="J329" s="3">
        <f t="shared" ca="1" si="114"/>
        <v>5</v>
      </c>
      <c r="K329" s="3" t="str">
        <f t="shared" ca="1" si="115"/>
        <v>Andhra Pradesh</v>
      </c>
      <c r="L329" s="3">
        <f t="shared" ca="1" si="116"/>
        <v>33055</v>
      </c>
      <c r="M329" s="3">
        <f t="shared" ca="1" si="117"/>
        <v>264440</v>
      </c>
      <c r="N329" s="3">
        <f t="shared" ca="1" si="118"/>
        <v>201387.53750165214</v>
      </c>
      <c r="O329" s="3">
        <f t="shared" ca="1" si="119"/>
        <v>73030.529632073725</v>
      </c>
      <c r="P329" s="3">
        <f t="shared" ca="1" si="120"/>
        <v>69028.031274376888</v>
      </c>
      <c r="Q329" s="3">
        <f t="shared" ca="1" si="121"/>
        <v>3885.5155356304331</v>
      </c>
      <c r="R329" s="3">
        <f t="shared" ca="1" si="122"/>
        <v>14498.088074559957</v>
      </c>
      <c r="S329" s="3">
        <f t="shared" ca="1" si="123"/>
        <v>351968.61770663364</v>
      </c>
      <c r="T329" s="3">
        <f t="shared" ca="1" si="124"/>
        <v>274301.08431165951</v>
      </c>
      <c r="U329" s="5">
        <f t="shared" ca="1" si="125"/>
        <v>77667.533394974133</v>
      </c>
    </row>
    <row r="330" spans="1:21" x14ac:dyDescent="0.35">
      <c r="A330">
        <f t="shared" ca="1" si="107"/>
        <v>2</v>
      </c>
      <c r="B330" s="4" t="str">
        <f t="shared" ca="1" si="105"/>
        <v>F</v>
      </c>
      <c r="C330" s="3">
        <f t="shared" ca="1" si="108"/>
        <v>7</v>
      </c>
      <c r="D330" s="3">
        <f t="shared" ca="1" si="106"/>
        <v>20</v>
      </c>
      <c r="E330" s="3" t="str">
        <f t="shared" ca="1" si="109"/>
        <v>Other</v>
      </c>
      <c r="F330" s="3">
        <f t="shared" ca="1" si="110"/>
        <v>1</v>
      </c>
      <c r="G330" s="3" t="str">
        <f t="shared" ca="1" si="111"/>
        <v>Secondary</v>
      </c>
      <c r="H330" s="3">
        <f t="shared" ca="1" si="112"/>
        <v>4</v>
      </c>
      <c r="I330" s="3">
        <f t="shared" ca="1" si="113"/>
        <v>1</v>
      </c>
      <c r="J330" s="3">
        <f t="shared" ca="1" si="114"/>
        <v>15</v>
      </c>
      <c r="K330" s="3" t="str">
        <f t="shared" ca="1" si="115"/>
        <v>Kerela</v>
      </c>
      <c r="L330" s="3">
        <f t="shared" ca="1" si="116"/>
        <v>97758</v>
      </c>
      <c r="M330" s="3">
        <f t="shared" ca="1" si="117"/>
        <v>488790</v>
      </c>
      <c r="N330" s="3">
        <f t="shared" ca="1" si="118"/>
        <v>102295.08184413864</v>
      </c>
      <c r="O330" s="3">
        <f t="shared" ca="1" si="119"/>
        <v>96799.429745869027</v>
      </c>
      <c r="P330" s="3">
        <f t="shared" ca="1" si="120"/>
        <v>82151.188625493829</v>
      </c>
      <c r="Q330" s="3">
        <f t="shared" ca="1" si="121"/>
        <v>50711.239575459316</v>
      </c>
      <c r="R330" s="3">
        <f t="shared" ca="1" si="122"/>
        <v>73498.575891332905</v>
      </c>
      <c r="S330" s="3">
        <f t="shared" ca="1" si="123"/>
        <v>659088.00563720195</v>
      </c>
      <c r="T330" s="3">
        <f t="shared" ca="1" si="124"/>
        <v>235157.5100450918</v>
      </c>
      <c r="U330" s="5">
        <f t="shared" ca="1" si="125"/>
        <v>423930.49559211015</v>
      </c>
    </row>
    <row r="331" spans="1:21" x14ac:dyDescent="0.35">
      <c r="A331">
        <f t="shared" ca="1" si="107"/>
        <v>2</v>
      </c>
      <c r="B331" s="4" t="str">
        <f t="shared" ca="1" si="105"/>
        <v>F</v>
      </c>
      <c r="C331" s="3">
        <f t="shared" ca="1" si="108"/>
        <v>3</v>
      </c>
      <c r="D331" s="3">
        <f t="shared" ca="1" si="106"/>
        <v>37</v>
      </c>
      <c r="E331" s="3" t="str">
        <f t="shared" ca="1" si="109"/>
        <v>IT</v>
      </c>
      <c r="F331" s="3">
        <f t="shared" ca="1" si="110"/>
        <v>4</v>
      </c>
      <c r="G331" s="3" t="str">
        <f t="shared" ca="1" si="111"/>
        <v>PG</v>
      </c>
      <c r="H331" s="3">
        <f t="shared" ca="1" si="112"/>
        <v>1</v>
      </c>
      <c r="I331" s="3">
        <f t="shared" ca="1" si="113"/>
        <v>2</v>
      </c>
      <c r="J331" s="3">
        <f t="shared" ca="1" si="114"/>
        <v>3</v>
      </c>
      <c r="K331" s="3" t="str">
        <f t="shared" ca="1" si="115"/>
        <v>Punjab</v>
      </c>
      <c r="L331" s="3">
        <f t="shared" ca="1" si="116"/>
        <v>42488</v>
      </c>
      <c r="M331" s="3">
        <f t="shared" ca="1" si="117"/>
        <v>382392</v>
      </c>
      <c r="N331" s="3">
        <f t="shared" ca="1" si="118"/>
        <v>121807.37472758204</v>
      </c>
      <c r="O331" s="3">
        <f t="shared" ca="1" si="119"/>
        <v>224.0197552559037</v>
      </c>
      <c r="P331" s="3">
        <f t="shared" ca="1" si="120"/>
        <v>1.0542131502509964</v>
      </c>
      <c r="Q331" s="3">
        <f t="shared" ca="1" si="121"/>
        <v>21230.918475394155</v>
      </c>
      <c r="R331" s="3">
        <f t="shared" ca="1" si="122"/>
        <v>7836.8266094253795</v>
      </c>
      <c r="S331" s="3">
        <f t="shared" ca="1" si="123"/>
        <v>390452.84636468126</v>
      </c>
      <c r="T331" s="3">
        <f t="shared" ca="1" si="124"/>
        <v>143039.34741612643</v>
      </c>
      <c r="U331" s="5">
        <f t="shared" ca="1" si="125"/>
        <v>247413.49894855483</v>
      </c>
    </row>
    <row r="332" spans="1:21" x14ac:dyDescent="0.35">
      <c r="A332">
        <f t="shared" ca="1" si="107"/>
        <v>2</v>
      </c>
      <c r="B332" s="4" t="str">
        <f t="shared" ca="1" si="105"/>
        <v>F</v>
      </c>
      <c r="C332" s="3">
        <f t="shared" ca="1" si="108"/>
        <v>5</v>
      </c>
      <c r="D332" s="3">
        <f t="shared" ca="1" si="106"/>
        <v>40</v>
      </c>
      <c r="E332" s="3" t="str">
        <f t="shared" ca="1" si="109"/>
        <v>Research</v>
      </c>
      <c r="F332" s="3">
        <f t="shared" ca="1" si="110"/>
        <v>7</v>
      </c>
      <c r="G332" s="3" t="str">
        <f t="shared" ca="1" si="111"/>
        <v>Other</v>
      </c>
      <c r="H332" s="3">
        <f t="shared" ca="1" si="112"/>
        <v>1</v>
      </c>
      <c r="I332" s="3">
        <f t="shared" ca="1" si="113"/>
        <v>3</v>
      </c>
      <c r="J332" s="3">
        <f t="shared" ca="1" si="114"/>
        <v>20</v>
      </c>
      <c r="K332" s="3" t="str">
        <f t="shared" ca="1" si="115"/>
        <v>Nagaland</v>
      </c>
      <c r="L332" s="3">
        <f t="shared" ca="1" si="116"/>
        <v>91053</v>
      </c>
      <c r="M332" s="3">
        <f t="shared" ca="1" si="117"/>
        <v>819477</v>
      </c>
      <c r="N332" s="3">
        <f t="shared" ca="1" si="118"/>
        <v>246243.35719917488</v>
      </c>
      <c r="O332" s="3">
        <f t="shared" ca="1" si="119"/>
        <v>265589.89805971761</v>
      </c>
      <c r="P332" s="3">
        <f t="shared" ca="1" si="120"/>
        <v>26991.738376078083</v>
      </c>
      <c r="Q332" s="3">
        <f t="shared" ca="1" si="121"/>
        <v>29661.434182007662</v>
      </c>
      <c r="R332" s="3">
        <f t="shared" ca="1" si="122"/>
        <v>26046.79195517291</v>
      </c>
      <c r="S332" s="3">
        <f t="shared" ca="1" si="123"/>
        <v>1111113.6900148906</v>
      </c>
      <c r="T332" s="3">
        <f t="shared" ca="1" si="124"/>
        <v>302896.52975726064</v>
      </c>
      <c r="U332" s="5">
        <f t="shared" ca="1" si="125"/>
        <v>808217.16025763005</v>
      </c>
    </row>
    <row r="333" spans="1:21" x14ac:dyDescent="0.35">
      <c r="A333">
        <f t="shared" ca="1" si="107"/>
        <v>1</v>
      </c>
      <c r="B333" s="4" t="str">
        <f t="shared" ca="1" si="105"/>
        <v>M</v>
      </c>
      <c r="C333" s="3">
        <f t="shared" ca="1" si="108"/>
        <v>4</v>
      </c>
      <c r="D333" s="3">
        <f t="shared" ca="1" si="106"/>
        <v>21</v>
      </c>
      <c r="E333" s="3" t="str">
        <f t="shared" ca="1" si="109"/>
        <v>Accounting</v>
      </c>
      <c r="F333" s="3">
        <f t="shared" ca="1" si="110"/>
        <v>2</v>
      </c>
      <c r="G333" s="3" t="str">
        <f t="shared" ca="1" si="111"/>
        <v>Senior Secondary</v>
      </c>
      <c r="H333" s="3">
        <f t="shared" ca="1" si="112"/>
        <v>2</v>
      </c>
      <c r="I333" s="3">
        <f t="shared" ca="1" si="113"/>
        <v>2</v>
      </c>
      <c r="J333" s="3">
        <f t="shared" ca="1" si="114"/>
        <v>23</v>
      </c>
      <c r="K333" s="3" t="str">
        <f t="shared" ca="1" si="115"/>
        <v>Sikkim</v>
      </c>
      <c r="L333" s="3">
        <f t="shared" ca="1" si="116"/>
        <v>42354</v>
      </c>
      <c r="M333" s="3">
        <f t="shared" ca="1" si="117"/>
        <v>254124</v>
      </c>
      <c r="N333" s="3">
        <f t="shared" ca="1" si="118"/>
        <v>213295.32270804554</v>
      </c>
      <c r="O333" s="3">
        <f t="shared" ca="1" si="119"/>
        <v>5542.8869563756825</v>
      </c>
      <c r="P333" s="3">
        <f t="shared" ca="1" si="120"/>
        <v>3255.0091062163528</v>
      </c>
      <c r="Q333" s="3">
        <f t="shared" ca="1" si="121"/>
        <v>30301.882018232129</v>
      </c>
      <c r="R333" s="3">
        <f t="shared" ca="1" si="122"/>
        <v>36661.940443789957</v>
      </c>
      <c r="S333" s="3">
        <f t="shared" ca="1" si="123"/>
        <v>296328.82740016561</v>
      </c>
      <c r="T333" s="3">
        <f t="shared" ca="1" si="124"/>
        <v>246852.21383249402</v>
      </c>
      <c r="U333" s="5">
        <f t="shared" ca="1" si="125"/>
        <v>49476.613567671593</v>
      </c>
    </row>
    <row r="334" spans="1:21" x14ac:dyDescent="0.35">
      <c r="A334">
        <f t="shared" ca="1" si="107"/>
        <v>1</v>
      </c>
      <c r="B334" s="4" t="str">
        <f t="shared" ca="1" si="105"/>
        <v>M</v>
      </c>
      <c r="C334" s="3">
        <f t="shared" ca="1" si="108"/>
        <v>5</v>
      </c>
      <c r="D334" s="3">
        <f t="shared" ca="1" si="106"/>
        <v>26</v>
      </c>
      <c r="E334" s="3" t="str">
        <f t="shared" ca="1" si="109"/>
        <v>Research</v>
      </c>
      <c r="F334" s="3">
        <f t="shared" ca="1" si="110"/>
        <v>2</v>
      </c>
      <c r="G334" s="3" t="str">
        <f t="shared" ca="1" si="111"/>
        <v>Senior Secondary</v>
      </c>
      <c r="H334" s="3">
        <f t="shared" ca="1" si="112"/>
        <v>0</v>
      </c>
      <c r="I334" s="3">
        <f t="shared" ca="1" si="113"/>
        <v>3</v>
      </c>
      <c r="J334" s="3">
        <f t="shared" ca="1" si="114"/>
        <v>26</v>
      </c>
      <c r="K334" s="3" t="str">
        <f t="shared" ca="1" si="115"/>
        <v>Tripura</v>
      </c>
      <c r="L334" s="3">
        <f t="shared" ca="1" si="116"/>
        <v>39796</v>
      </c>
      <c r="M334" s="3">
        <f t="shared" ca="1" si="117"/>
        <v>318368</v>
      </c>
      <c r="N334" s="3">
        <f t="shared" ca="1" si="118"/>
        <v>282409.6822734442</v>
      </c>
      <c r="O334" s="3">
        <f t="shared" ca="1" si="119"/>
        <v>64269.827608135805</v>
      </c>
      <c r="P334" s="3">
        <f t="shared" ca="1" si="120"/>
        <v>15562.000035832676</v>
      </c>
      <c r="Q334" s="3">
        <f t="shared" ca="1" si="121"/>
        <v>17795.839677313968</v>
      </c>
      <c r="R334" s="3">
        <f t="shared" ca="1" si="122"/>
        <v>29968.322143617497</v>
      </c>
      <c r="S334" s="3">
        <f t="shared" ca="1" si="123"/>
        <v>412606.14975175331</v>
      </c>
      <c r="T334" s="3">
        <f t="shared" ca="1" si="124"/>
        <v>315767.52198659087</v>
      </c>
      <c r="U334" s="5">
        <f t="shared" ca="1" si="125"/>
        <v>96838.62776516244</v>
      </c>
    </row>
    <row r="335" spans="1:21" x14ac:dyDescent="0.35">
      <c r="A335">
        <f t="shared" ca="1" si="107"/>
        <v>2</v>
      </c>
      <c r="B335" s="4" t="str">
        <f t="shared" ca="1" si="105"/>
        <v>F</v>
      </c>
      <c r="C335" s="3">
        <f t="shared" ca="1" si="108"/>
        <v>5</v>
      </c>
      <c r="D335" s="3">
        <f t="shared" ca="1" si="106"/>
        <v>37</v>
      </c>
      <c r="E335" s="3" t="str">
        <f t="shared" ca="1" si="109"/>
        <v>Research</v>
      </c>
      <c r="F335" s="3">
        <f t="shared" ca="1" si="110"/>
        <v>2</v>
      </c>
      <c r="G335" s="3" t="str">
        <f t="shared" ca="1" si="111"/>
        <v>Senior Secondary</v>
      </c>
      <c r="H335" s="3">
        <f t="shared" ca="1" si="112"/>
        <v>2</v>
      </c>
      <c r="I335" s="3">
        <f t="shared" ca="1" si="113"/>
        <v>2</v>
      </c>
      <c r="J335" s="3">
        <f t="shared" ca="1" si="114"/>
        <v>1</v>
      </c>
      <c r="K335" s="3" t="str">
        <f t="shared" ca="1" si="115"/>
        <v>Haryana</v>
      </c>
      <c r="L335" s="3">
        <f t="shared" ca="1" si="116"/>
        <v>50866</v>
      </c>
      <c r="M335" s="3">
        <f t="shared" ca="1" si="117"/>
        <v>406928</v>
      </c>
      <c r="N335" s="3">
        <f t="shared" ca="1" si="118"/>
        <v>91145.75991122557</v>
      </c>
      <c r="O335" s="3">
        <f t="shared" ca="1" si="119"/>
        <v>17521.740436448974</v>
      </c>
      <c r="P335" s="3">
        <f t="shared" ca="1" si="120"/>
        <v>8264.3781307169756</v>
      </c>
      <c r="Q335" s="3">
        <f t="shared" ca="1" si="121"/>
        <v>33208.971573889998</v>
      </c>
      <c r="R335" s="3">
        <f t="shared" ca="1" si="122"/>
        <v>23973.888953710612</v>
      </c>
      <c r="S335" s="3">
        <f t="shared" ca="1" si="123"/>
        <v>448423.62939015956</v>
      </c>
      <c r="T335" s="3">
        <f t="shared" ca="1" si="124"/>
        <v>132619.10961583254</v>
      </c>
      <c r="U335" s="5">
        <f t="shared" ca="1" si="125"/>
        <v>315804.51977432705</v>
      </c>
    </row>
    <row r="336" spans="1:21" x14ac:dyDescent="0.35">
      <c r="A336">
        <f t="shared" ca="1" si="107"/>
        <v>2</v>
      </c>
      <c r="B336" s="4" t="str">
        <f t="shared" ca="1" si="105"/>
        <v>F</v>
      </c>
      <c r="C336" s="3">
        <f t="shared" ca="1" si="108"/>
        <v>2</v>
      </c>
      <c r="D336" s="3">
        <f t="shared" ca="1" si="106"/>
        <v>43</v>
      </c>
      <c r="E336" s="3" t="str">
        <f t="shared" ca="1" si="109"/>
        <v>Healthcare</v>
      </c>
      <c r="F336" s="3">
        <f t="shared" ca="1" si="110"/>
        <v>6</v>
      </c>
      <c r="G336" s="3" t="str">
        <f t="shared" ca="1" si="111"/>
        <v>Doctorate</v>
      </c>
      <c r="H336" s="3">
        <f t="shared" ca="1" si="112"/>
        <v>1</v>
      </c>
      <c r="I336" s="3">
        <f t="shared" ca="1" si="113"/>
        <v>3</v>
      </c>
      <c r="J336" s="3">
        <f t="shared" ca="1" si="114"/>
        <v>9</v>
      </c>
      <c r="K336" s="3" t="str">
        <f t="shared" ca="1" si="115"/>
        <v>Chhattisgarh</v>
      </c>
      <c r="L336" s="3">
        <f t="shared" ca="1" si="116"/>
        <v>36631</v>
      </c>
      <c r="M336" s="3">
        <f t="shared" ca="1" si="117"/>
        <v>293048</v>
      </c>
      <c r="N336" s="3">
        <f t="shared" ca="1" si="118"/>
        <v>277732.44274980022</v>
      </c>
      <c r="O336" s="3">
        <f t="shared" ca="1" si="119"/>
        <v>95024.336743047112</v>
      </c>
      <c r="P336" s="3">
        <f t="shared" ca="1" si="120"/>
        <v>9883.155189118057</v>
      </c>
      <c r="Q336" s="3">
        <f t="shared" ca="1" si="121"/>
        <v>579.0995068259532</v>
      </c>
      <c r="R336" s="3">
        <f t="shared" ca="1" si="122"/>
        <v>25190.716749307678</v>
      </c>
      <c r="S336" s="3">
        <f t="shared" ca="1" si="123"/>
        <v>413263.05349235481</v>
      </c>
      <c r="T336" s="3">
        <f t="shared" ca="1" si="124"/>
        <v>288194.69744574424</v>
      </c>
      <c r="U336" s="5">
        <f t="shared" ca="1" si="125"/>
        <v>125068.35604661057</v>
      </c>
    </row>
    <row r="337" spans="1:21" x14ac:dyDescent="0.35">
      <c r="A337">
        <f t="shared" ca="1" si="107"/>
        <v>2</v>
      </c>
      <c r="B337" s="4" t="str">
        <f t="shared" ca="1" si="105"/>
        <v>F</v>
      </c>
      <c r="C337" s="3">
        <f t="shared" ca="1" si="108"/>
        <v>1</v>
      </c>
      <c r="D337" s="3">
        <f t="shared" ca="1" si="106"/>
        <v>24</v>
      </c>
      <c r="E337" s="3" t="str">
        <f t="shared" ca="1" si="109"/>
        <v>Engineering</v>
      </c>
      <c r="F337" s="3">
        <f t="shared" ca="1" si="110"/>
        <v>2</v>
      </c>
      <c r="G337" s="3" t="str">
        <f t="shared" ca="1" si="111"/>
        <v>Senior Secondary</v>
      </c>
      <c r="H337" s="3">
        <f t="shared" ca="1" si="112"/>
        <v>3</v>
      </c>
      <c r="I337" s="3">
        <f t="shared" ca="1" si="113"/>
        <v>1</v>
      </c>
      <c r="J337" s="3">
        <f t="shared" ca="1" si="114"/>
        <v>6</v>
      </c>
      <c r="K337" s="3" t="str">
        <f t="shared" ca="1" si="115"/>
        <v>Arunachal Pradesh</v>
      </c>
      <c r="L337" s="3">
        <f t="shared" ca="1" si="116"/>
        <v>35791</v>
      </c>
      <c r="M337" s="3">
        <f t="shared" ca="1" si="117"/>
        <v>214746</v>
      </c>
      <c r="N337" s="3">
        <f t="shared" ca="1" si="118"/>
        <v>120340.09131639071</v>
      </c>
      <c r="O337" s="3">
        <f t="shared" ca="1" si="119"/>
        <v>35473.235398330828</v>
      </c>
      <c r="P337" s="3">
        <f t="shared" ca="1" si="120"/>
        <v>26020.755627798346</v>
      </c>
      <c r="Q337" s="3">
        <f t="shared" ca="1" si="121"/>
        <v>5534.8522286720554</v>
      </c>
      <c r="R337" s="3">
        <f t="shared" ca="1" si="122"/>
        <v>4284.2515108288417</v>
      </c>
      <c r="S337" s="3">
        <f t="shared" ca="1" si="123"/>
        <v>254503.48690915969</v>
      </c>
      <c r="T337" s="3">
        <f t="shared" ca="1" si="124"/>
        <v>151895.69917286112</v>
      </c>
      <c r="U337" s="5">
        <f t="shared" ca="1" si="125"/>
        <v>102607.78773629857</v>
      </c>
    </row>
    <row r="338" spans="1:21" x14ac:dyDescent="0.35">
      <c r="A338">
        <f t="shared" ca="1" si="107"/>
        <v>1</v>
      </c>
      <c r="B338" s="4" t="str">
        <f t="shared" ca="1" si="105"/>
        <v>M</v>
      </c>
      <c r="C338" s="3">
        <f t="shared" ca="1" si="108"/>
        <v>5</v>
      </c>
      <c r="D338" s="3">
        <f t="shared" ca="1" si="106"/>
        <v>18</v>
      </c>
      <c r="E338" s="3" t="str">
        <f t="shared" ca="1" si="109"/>
        <v>Research</v>
      </c>
      <c r="F338" s="3">
        <f t="shared" ca="1" si="110"/>
        <v>6</v>
      </c>
      <c r="G338" s="3" t="str">
        <f t="shared" ca="1" si="111"/>
        <v>Doctorate</v>
      </c>
      <c r="H338" s="3">
        <f t="shared" ca="1" si="112"/>
        <v>3</v>
      </c>
      <c r="I338" s="3">
        <f t="shared" ca="1" si="113"/>
        <v>0</v>
      </c>
      <c r="J338" s="3">
        <f t="shared" ca="1" si="114"/>
        <v>7</v>
      </c>
      <c r="K338" s="3" t="str">
        <f t="shared" ca="1" si="115"/>
        <v>Assam</v>
      </c>
      <c r="L338" s="3">
        <f t="shared" ca="1" si="116"/>
        <v>37030</v>
      </c>
      <c r="M338" s="3">
        <f t="shared" ca="1" si="117"/>
        <v>333270</v>
      </c>
      <c r="N338" s="3">
        <f t="shared" ca="1" si="118"/>
        <v>219825.7896433438</v>
      </c>
      <c r="O338" s="3">
        <f t="shared" ca="1" si="119"/>
        <v>0</v>
      </c>
      <c r="P338" s="3">
        <f t="shared" ca="1" si="120"/>
        <v>0</v>
      </c>
      <c r="Q338" s="3">
        <f t="shared" ca="1" si="121"/>
        <v>26324.181016098104</v>
      </c>
      <c r="R338" s="3">
        <f t="shared" ca="1" si="122"/>
        <v>15676.310445459627</v>
      </c>
      <c r="S338" s="3">
        <f t="shared" ca="1" si="123"/>
        <v>348946.31044545962</v>
      </c>
      <c r="T338" s="3">
        <f t="shared" ca="1" si="124"/>
        <v>246149.9706594419</v>
      </c>
      <c r="U338" s="5">
        <f t="shared" ca="1" si="125"/>
        <v>102796.33978601772</v>
      </c>
    </row>
    <row r="339" spans="1:21" x14ac:dyDescent="0.35">
      <c r="A339">
        <f t="shared" ca="1" si="107"/>
        <v>2</v>
      </c>
      <c r="B339" s="4" t="str">
        <f t="shared" ca="1" si="105"/>
        <v>F</v>
      </c>
      <c r="C339" s="3">
        <f t="shared" ca="1" si="108"/>
        <v>7</v>
      </c>
      <c r="D339" s="3">
        <f t="shared" ca="1" si="106"/>
        <v>39</v>
      </c>
      <c r="E339" s="3" t="str">
        <f t="shared" ca="1" si="109"/>
        <v>Other</v>
      </c>
      <c r="F339" s="3">
        <f t="shared" ca="1" si="110"/>
        <v>7</v>
      </c>
      <c r="G339" s="3" t="str">
        <f t="shared" ca="1" si="111"/>
        <v>Other</v>
      </c>
      <c r="H339" s="3">
        <f t="shared" ca="1" si="112"/>
        <v>3</v>
      </c>
      <c r="I339" s="3">
        <f t="shared" ca="1" si="113"/>
        <v>3</v>
      </c>
      <c r="J339" s="3">
        <f t="shared" ca="1" si="114"/>
        <v>11</v>
      </c>
      <c r="K339" s="3" t="str">
        <f t="shared" ca="1" si="115"/>
        <v>Goa</v>
      </c>
      <c r="L339" s="3">
        <f t="shared" ca="1" si="116"/>
        <v>36985</v>
      </c>
      <c r="M339" s="3">
        <f t="shared" ca="1" si="117"/>
        <v>221910</v>
      </c>
      <c r="N339" s="3">
        <f t="shared" ca="1" si="118"/>
        <v>21413.108073342541</v>
      </c>
      <c r="O339" s="3">
        <f t="shared" ca="1" si="119"/>
        <v>88631.064247422692</v>
      </c>
      <c r="P339" s="3">
        <f t="shared" ca="1" si="120"/>
        <v>7513.2155159068761</v>
      </c>
      <c r="Q339" s="3">
        <f t="shared" ca="1" si="121"/>
        <v>36969.944828924643</v>
      </c>
      <c r="R339" s="3">
        <f t="shared" ca="1" si="122"/>
        <v>18654.660258913322</v>
      </c>
      <c r="S339" s="3">
        <f t="shared" ca="1" si="123"/>
        <v>329195.72450633597</v>
      </c>
      <c r="T339" s="3">
        <f t="shared" ca="1" si="124"/>
        <v>65896.268418174062</v>
      </c>
      <c r="U339" s="5">
        <f t="shared" ca="1" si="125"/>
        <v>263299.45608816191</v>
      </c>
    </row>
    <row r="340" spans="1:21" x14ac:dyDescent="0.35">
      <c r="A340">
        <f t="shared" ca="1" si="107"/>
        <v>1</v>
      </c>
      <c r="B340" s="4" t="str">
        <f t="shared" ca="1" si="105"/>
        <v>M</v>
      </c>
      <c r="C340" s="3">
        <f t="shared" ca="1" si="108"/>
        <v>5</v>
      </c>
      <c r="D340" s="3">
        <f t="shared" ca="1" si="106"/>
        <v>25</v>
      </c>
      <c r="E340" s="3" t="str">
        <f t="shared" ca="1" si="109"/>
        <v>Research</v>
      </c>
      <c r="F340" s="3">
        <f t="shared" ca="1" si="110"/>
        <v>3</v>
      </c>
      <c r="G340" s="3" t="str">
        <f t="shared" ca="1" si="111"/>
        <v>UG</v>
      </c>
      <c r="H340" s="3">
        <f t="shared" ca="1" si="112"/>
        <v>1</v>
      </c>
      <c r="I340" s="3">
        <f t="shared" ca="1" si="113"/>
        <v>3</v>
      </c>
      <c r="J340" s="3">
        <f t="shared" ca="1" si="114"/>
        <v>21</v>
      </c>
      <c r="K340" s="3" t="str">
        <f t="shared" ca="1" si="115"/>
        <v>Odisha</v>
      </c>
      <c r="L340" s="3">
        <f t="shared" ca="1" si="116"/>
        <v>87339</v>
      </c>
      <c r="M340" s="3">
        <f t="shared" ca="1" si="117"/>
        <v>436695</v>
      </c>
      <c r="N340" s="3">
        <f t="shared" ca="1" si="118"/>
        <v>173745.47705449024</v>
      </c>
      <c r="O340" s="3">
        <f t="shared" ca="1" si="119"/>
        <v>2807.1998509437899</v>
      </c>
      <c r="P340" s="3">
        <f t="shared" ca="1" si="120"/>
        <v>518.1805238745693</v>
      </c>
      <c r="Q340" s="3">
        <f t="shared" ca="1" si="121"/>
        <v>79789.400647470655</v>
      </c>
      <c r="R340" s="3">
        <f t="shared" ca="1" si="122"/>
        <v>59181.584537924129</v>
      </c>
      <c r="S340" s="3">
        <f t="shared" ca="1" si="123"/>
        <v>498683.78438886796</v>
      </c>
      <c r="T340" s="3">
        <f t="shared" ca="1" si="124"/>
        <v>254053.05822583544</v>
      </c>
      <c r="U340" s="5">
        <f t="shared" ca="1" si="125"/>
        <v>244630.72616303252</v>
      </c>
    </row>
    <row r="341" spans="1:21" x14ac:dyDescent="0.35">
      <c r="A341">
        <f t="shared" ca="1" si="107"/>
        <v>1</v>
      </c>
      <c r="B341" s="4" t="str">
        <f t="shared" ca="1" si="105"/>
        <v>M</v>
      </c>
      <c r="C341" s="3">
        <f t="shared" ca="1" si="108"/>
        <v>5</v>
      </c>
      <c r="D341" s="3">
        <f t="shared" ca="1" si="106"/>
        <v>24</v>
      </c>
      <c r="E341" s="3" t="str">
        <f t="shared" ca="1" si="109"/>
        <v>Research</v>
      </c>
      <c r="F341" s="3">
        <f t="shared" ca="1" si="110"/>
        <v>5</v>
      </c>
      <c r="G341" s="3" t="str">
        <f t="shared" ca="1" si="111"/>
        <v>Diploma</v>
      </c>
      <c r="H341" s="3">
        <f t="shared" ca="1" si="112"/>
        <v>1</v>
      </c>
      <c r="I341" s="3">
        <f t="shared" ca="1" si="113"/>
        <v>0</v>
      </c>
      <c r="J341" s="3">
        <f t="shared" ca="1" si="114"/>
        <v>10</v>
      </c>
      <c r="K341" s="3" t="str">
        <f t="shared" ca="1" si="115"/>
        <v>Gujarat</v>
      </c>
      <c r="L341" s="3">
        <f t="shared" ca="1" si="116"/>
        <v>77844</v>
      </c>
      <c r="M341" s="3">
        <f t="shared" ca="1" si="117"/>
        <v>389220</v>
      </c>
      <c r="N341" s="3">
        <f t="shared" ca="1" si="118"/>
        <v>219733.99909985356</v>
      </c>
      <c r="O341" s="3">
        <f t="shared" ca="1" si="119"/>
        <v>0</v>
      </c>
      <c r="P341" s="3">
        <f t="shared" ca="1" si="120"/>
        <v>0</v>
      </c>
      <c r="Q341" s="3">
        <f t="shared" ca="1" si="121"/>
        <v>13584.182894342506</v>
      </c>
      <c r="R341" s="3">
        <f t="shared" ca="1" si="122"/>
        <v>29051.83705028156</v>
      </c>
      <c r="S341" s="3">
        <f t="shared" ca="1" si="123"/>
        <v>418271.83705028158</v>
      </c>
      <c r="T341" s="3">
        <f t="shared" ca="1" si="124"/>
        <v>233318.18199419609</v>
      </c>
      <c r="U341" s="5">
        <f t="shared" ca="1" si="125"/>
        <v>184953.6550560855</v>
      </c>
    </row>
    <row r="342" spans="1:21" x14ac:dyDescent="0.35">
      <c r="A342">
        <f t="shared" ca="1" si="107"/>
        <v>2</v>
      </c>
      <c r="B342" s="4" t="str">
        <f t="shared" ca="1" si="105"/>
        <v>F</v>
      </c>
      <c r="C342" s="3">
        <f t="shared" ca="1" si="108"/>
        <v>5</v>
      </c>
      <c r="D342" s="3">
        <f t="shared" ca="1" si="106"/>
        <v>23</v>
      </c>
      <c r="E342" s="3" t="str">
        <f t="shared" ca="1" si="109"/>
        <v>Research</v>
      </c>
      <c r="F342" s="3">
        <f t="shared" ca="1" si="110"/>
        <v>2</v>
      </c>
      <c r="G342" s="3" t="str">
        <f t="shared" ca="1" si="111"/>
        <v>Senior Secondary</v>
      </c>
      <c r="H342" s="3">
        <f t="shared" ca="1" si="112"/>
        <v>3</v>
      </c>
      <c r="I342" s="3">
        <f t="shared" ca="1" si="113"/>
        <v>0</v>
      </c>
      <c r="J342" s="3">
        <f t="shared" ca="1" si="114"/>
        <v>7</v>
      </c>
      <c r="K342" s="3" t="str">
        <f t="shared" ca="1" si="115"/>
        <v>Assam</v>
      </c>
      <c r="L342" s="3">
        <f t="shared" ca="1" si="116"/>
        <v>48326</v>
      </c>
      <c r="M342" s="3">
        <f t="shared" ca="1" si="117"/>
        <v>241630</v>
      </c>
      <c r="N342" s="3">
        <f t="shared" ca="1" si="118"/>
        <v>106885.99188007871</v>
      </c>
      <c r="O342" s="3">
        <f t="shared" ca="1" si="119"/>
        <v>0</v>
      </c>
      <c r="P342" s="3">
        <f t="shared" ca="1" si="120"/>
        <v>0</v>
      </c>
      <c r="Q342" s="3">
        <f t="shared" ca="1" si="121"/>
        <v>38695.894751851163</v>
      </c>
      <c r="R342" s="3">
        <f t="shared" ca="1" si="122"/>
        <v>2373.2603172024264</v>
      </c>
      <c r="S342" s="3">
        <f t="shared" ca="1" si="123"/>
        <v>244003.26031720242</v>
      </c>
      <c r="T342" s="3">
        <f t="shared" ca="1" si="124"/>
        <v>145581.88663192987</v>
      </c>
      <c r="U342" s="5">
        <f t="shared" ca="1" si="125"/>
        <v>98421.373685272556</v>
      </c>
    </row>
    <row r="343" spans="1:21" x14ac:dyDescent="0.35">
      <c r="A343">
        <f t="shared" ca="1" si="107"/>
        <v>1</v>
      </c>
      <c r="B343" s="4" t="str">
        <f t="shared" ca="1" si="105"/>
        <v>M</v>
      </c>
      <c r="C343" s="3">
        <f t="shared" ca="1" si="108"/>
        <v>2</v>
      </c>
      <c r="D343" s="3">
        <f t="shared" ca="1" si="106"/>
        <v>21</v>
      </c>
      <c r="E343" s="3" t="str">
        <f t="shared" ca="1" si="109"/>
        <v>Healthcare</v>
      </c>
      <c r="F343" s="3">
        <f t="shared" ca="1" si="110"/>
        <v>2</v>
      </c>
      <c r="G343" s="3" t="str">
        <f t="shared" ca="1" si="111"/>
        <v>Senior Secondary</v>
      </c>
      <c r="H343" s="3">
        <f t="shared" ca="1" si="112"/>
        <v>0</v>
      </c>
      <c r="I343" s="3">
        <f t="shared" ca="1" si="113"/>
        <v>3</v>
      </c>
      <c r="J343" s="3">
        <f t="shared" ca="1" si="114"/>
        <v>14</v>
      </c>
      <c r="K343" s="3" t="str">
        <f t="shared" ca="1" si="115"/>
        <v>Karnataka</v>
      </c>
      <c r="L343" s="3">
        <f t="shared" ca="1" si="116"/>
        <v>94791</v>
      </c>
      <c r="M343" s="3">
        <f t="shared" ca="1" si="117"/>
        <v>568746</v>
      </c>
      <c r="N343" s="3">
        <f t="shared" ca="1" si="118"/>
        <v>474487.50429820339</v>
      </c>
      <c r="O343" s="3">
        <f t="shared" ca="1" si="119"/>
        <v>28051.699857636864</v>
      </c>
      <c r="P343" s="3">
        <f t="shared" ca="1" si="120"/>
        <v>9925.3518617700429</v>
      </c>
      <c r="Q343" s="3">
        <f t="shared" ca="1" si="121"/>
        <v>49535.858154410875</v>
      </c>
      <c r="R343" s="3">
        <f t="shared" ca="1" si="122"/>
        <v>4140.0483521847</v>
      </c>
      <c r="S343" s="3">
        <f t="shared" ca="1" si="123"/>
        <v>600937.74820982153</v>
      </c>
      <c r="T343" s="3">
        <f t="shared" ca="1" si="124"/>
        <v>533948.71431438427</v>
      </c>
      <c r="U343" s="5">
        <f t="shared" ca="1" si="125"/>
        <v>66989.033895437256</v>
      </c>
    </row>
    <row r="344" spans="1:21" x14ac:dyDescent="0.35">
      <c r="A344">
        <f t="shared" ca="1" si="107"/>
        <v>2</v>
      </c>
      <c r="B344" s="4" t="str">
        <f t="shared" ca="1" si="105"/>
        <v>F</v>
      </c>
      <c r="C344" s="3">
        <f t="shared" ca="1" si="108"/>
        <v>3</v>
      </c>
      <c r="D344" s="3">
        <f t="shared" ca="1" si="106"/>
        <v>34</v>
      </c>
      <c r="E344" s="3" t="str">
        <f t="shared" ca="1" si="109"/>
        <v>IT</v>
      </c>
      <c r="F344" s="3">
        <f t="shared" ca="1" si="110"/>
        <v>5</v>
      </c>
      <c r="G344" s="3" t="str">
        <f t="shared" ca="1" si="111"/>
        <v>Diploma</v>
      </c>
      <c r="H344" s="3">
        <f t="shared" ca="1" si="112"/>
        <v>1</v>
      </c>
      <c r="I344" s="3">
        <f t="shared" ca="1" si="113"/>
        <v>2</v>
      </c>
      <c r="J344" s="3">
        <f t="shared" ca="1" si="114"/>
        <v>17</v>
      </c>
      <c r="K344" s="3" t="str">
        <f t="shared" ca="1" si="115"/>
        <v xml:space="preserve">Manipur </v>
      </c>
      <c r="L344" s="3">
        <f t="shared" ca="1" si="116"/>
        <v>39672</v>
      </c>
      <c r="M344" s="3">
        <f t="shared" ca="1" si="117"/>
        <v>317376</v>
      </c>
      <c r="N344" s="3">
        <f t="shared" ca="1" si="118"/>
        <v>244570.87572664375</v>
      </c>
      <c r="O344" s="3">
        <f t="shared" ca="1" si="119"/>
        <v>10456.980667648924</v>
      </c>
      <c r="P344" s="3">
        <f t="shared" ca="1" si="120"/>
        <v>8019.6558445682931</v>
      </c>
      <c r="Q344" s="3">
        <f t="shared" ca="1" si="121"/>
        <v>15581.649523041213</v>
      </c>
      <c r="R344" s="3">
        <f t="shared" ca="1" si="122"/>
        <v>37476.844438134569</v>
      </c>
      <c r="S344" s="3">
        <f t="shared" ca="1" si="123"/>
        <v>365309.82510578353</v>
      </c>
      <c r="T344" s="3">
        <f t="shared" ca="1" si="124"/>
        <v>268172.18109425326</v>
      </c>
      <c r="U344" s="5">
        <f t="shared" ca="1" si="125"/>
        <v>97137.644011530268</v>
      </c>
    </row>
    <row r="345" spans="1:21" x14ac:dyDescent="0.35">
      <c r="A345">
        <f t="shared" ca="1" si="107"/>
        <v>2</v>
      </c>
      <c r="B345" s="4" t="str">
        <f t="shared" ca="1" si="105"/>
        <v>F</v>
      </c>
      <c r="C345" s="3">
        <f t="shared" ca="1" si="108"/>
        <v>6</v>
      </c>
      <c r="D345" s="3">
        <f t="shared" ca="1" si="106"/>
        <v>43</v>
      </c>
      <c r="E345" s="3" t="str">
        <f t="shared" ca="1" si="109"/>
        <v>Art</v>
      </c>
      <c r="F345" s="3">
        <f t="shared" ca="1" si="110"/>
        <v>5</v>
      </c>
      <c r="G345" s="3" t="str">
        <f t="shared" ca="1" si="111"/>
        <v>Diploma</v>
      </c>
      <c r="H345" s="3">
        <f t="shared" ca="1" si="112"/>
        <v>2</v>
      </c>
      <c r="I345" s="3">
        <f t="shared" ca="1" si="113"/>
        <v>1</v>
      </c>
      <c r="J345" s="3">
        <f t="shared" ca="1" si="114"/>
        <v>28</v>
      </c>
      <c r="K345" s="3" t="str">
        <f t="shared" ca="1" si="115"/>
        <v>West Bengal</v>
      </c>
      <c r="L345" s="3">
        <f t="shared" ca="1" si="116"/>
        <v>85087</v>
      </c>
      <c r="M345" s="3">
        <f t="shared" ca="1" si="117"/>
        <v>510522</v>
      </c>
      <c r="N345" s="3">
        <f t="shared" ca="1" si="118"/>
        <v>141473.56358411934</v>
      </c>
      <c r="O345" s="3">
        <f t="shared" ca="1" si="119"/>
        <v>49783.875594680736</v>
      </c>
      <c r="P345" s="3">
        <f t="shared" ca="1" si="120"/>
        <v>28570.601956430899</v>
      </c>
      <c r="Q345" s="3">
        <f t="shared" ca="1" si="121"/>
        <v>65281.744470451915</v>
      </c>
      <c r="R345" s="3">
        <f t="shared" ca="1" si="122"/>
        <v>76063.405511972742</v>
      </c>
      <c r="S345" s="3">
        <f t="shared" ca="1" si="123"/>
        <v>636369.28110665351</v>
      </c>
      <c r="T345" s="3">
        <f t="shared" ca="1" si="124"/>
        <v>235325.91001100215</v>
      </c>
      <c r="U345" s="5">
        <f t="shared" ca="1" si="125"/>
        <v>401043.37109565135</v>
      </c>
    </row>
    <row r="346" spans="1:21" x14ac:dyDescent="0.35">
      <c r="A346">
        <f t="shared" ca="1" si="107"/>
        <v>1</v>
      </c>
      <c r="B346" s="4" t="str">
        <f t="shared" ca="1" si="105"/>
        <v>M</v>
      </c>
      <c r="C346" s="3">
        <f t="shared" ca="1" si="108"/>
        <v>4</v>
      </c>
      <c r="D346" s="3">
        <f t="shared" ca="1" si="106"/>
        <v>18</v>
      </c>
      <c r="E346" s="3" t="str">
        <f t="shared" ca="1" si="109"/>
        <v>Accounting</v>
      </c>
      <c r="F346" s="3">
        <f t="shared" ca="1" si="110"/>
        <v>2</v>
      </c>
      <c r="G346" s="3" t="str">
        <f t="shared" ca="1" si="111"/>
        <v>Senior Secondary</v>
      </c>
      <c r="H346" s="3">
        <f t="shared" ca="1" si="112"/>
        <v>3</v>
      </c>
      <c r="I346" s="3">
        <f t="shared" ca="1" si="113"/>
        <v>2</v>
      </c>
      <c r="J346" s="3">
        <f t="shared" ca="1" si="114"/>
        <v>12</v>
      </c>
      <c r="K346" s="3" t="str">
        <f t="shared" ca="1" si="115"/>
        <v>Himachal Pradesh</v>
      </c>
      <c r="L346" s="3">
        <f t="shared" ca="1" si="116"/>
        <v>63400</v>
      </c>
      <c r="M346" s="3">
        <f t="shared" ca="1" si="117"/>
        <v>443800</v>
      </c>
      <c r="N346" s="3">
        <f t="shared" ca="1" si="118"/>
        <v>176752.94207061807</v>
      </c>
      <c r="O346" s="3">
        <f t="shared" ca="1" si="119"/>
        <v>11839.992025543384</v>
      </c>
      <c r="P346" s="3">
        <f t="shared" ca="1" si="120"/>
        <v>5950.2201501354784</v>
      </c>
      <c r="Q346" s="3">
        <f t="shared" ca="1" si="121"/>
        <v>49848.020347453443</v>
      </c>
      <c r="R346" s="3">
        <f t="shared" ca="1" si="122"/>
        <v>42910.725162509028</v>
      </c>
      <c r="S346" s="3">
        <f t="shared" ca="1" si="123"/>
        <v>498550.71718805243</v>
      </c>
      <c r="T346" s="3">
        <f t="shared" ca="1" si="124"/>
        <v>232551.182568207</v>
      </c>
      <c r="U346" s="5">
        <f t="shared" ca="1" si="125"/>
        <v>265999.53461984545</v>
      </c>
    </row>
    <row r="347" spans="1:21" x14ac:dyDescent="0.35">
      <c r="A347">
        <f t="shared" ca="1" si="107"/>
        <v>1</v>
      </c>
      <c r="B347" s="4" t="str">
        <f t="shared" ca="1" si="105"/>
        <v>M</v>
      </c>
      <c r="C347" s="3">
        <f t="shared" ca="1" si="108"/>
        <v>2</v>
      </c>
      <c r="D347" s="3">
        <f t="shared" ca="1" si="106"/>
        <v>40</v>
      </c>
      <c r="E347" s="3" t="str">
        <f t="shared" ca="1" si="109"/>
        <v>Healthcare</v>
      </c>
      <c r="F347" s="3">
        <f t="shared" ca="1" si="110"/>
        <v>1</v>
      </c>
      <c r="G347" s="3" t="str">
        <f t="shared" ca="1" si="111"/>
        <v>Secondary</v>
      </c>
      <c r="H347" s="3">
        <f t="shared" ca="1" si="112"/>
        <v>3</v>
      </c>
      <c r="I347" s="3">
        <f t="shared" ca="1" si="113"/>
        <v>3</v>
      </c>
      <c r="J347" s="3">
        <f t="shared" ca="1" si="114"/>
        <v>2</v>
      </c>
      <c r="K347" s="3" t="str">
        <f t="shared" ca="1" si="115"/>
        <v>Uttar Pradesh</v>
      </c>
      <c r="L347" s="3">
        <f t="shared" ca="1" si="116"/>
        <v>91868</v>
      </c>
      <c r="M347" s="3">
        <f t="shared" ca="1" si="117"/>
        <v>551208</v>
      </c>
      <c r="N347" s="3">
        <f t="shared" ca="1" si="118"/>
        <v>94355.454137538705</v>
      </c>
      <c r="O347" s="3">
        <f t="shared" ca="1" si="119"/>
        <v>37473.869040614169</v>
      </c>
      <c r="P347" s="3">
        <f t="shared" ca="1" si="120"/>
        <v>26428.770801413557</v>
      </c>
      <c r="Q347" s="3">
        <f t="shared" ca="1" si="121"/>
        <v>22525.997630508875</v>
      </c>
      <c r="R347" s="3">
        <f t="shared" ca="1" si="122"/>
        <v>67095.961057458626</v>
      </c>
      <c r="S347" s="3">
        <f t="shared" ca="1" si="123"/>
        <v>655777.83009807288</v>
      </c>
      <c r="T347" s="3">
        <f t="shared" ca="1" si="124"/>
        <v>143310.22256946113</v>
      </c>
      <c r="U347" s="5">
        <f t="shared" ca="1" si="125"/>
        <v>512467.60752861178</v>
      </c>
    </row>
    <row r="348" spans="1:21" x14ac:dyDescent="0.35">
      <c r="A348">
        <f t="shared" ca="1" si="107"/>
        <v>2</v>
      </c>
      <c r="B348" s="4" t="str">
        <f t="shared" ca="1" si="105"/>
        <v>F</v>
      </c>
      <c r="C348" s="3">
        <f t="shared" ca="1" si="108"/>
        <v>3</v>
      </c>
      <c r="D348" s="3">
        <f t="shared" ca="1" si="106"/>
        <v>21</v>
      </c>
      <c r="E348" s="3" t="str">
        <f t="shared" ca="1" si="109"/>
        <v>IT</v>
      </c>
      <c r="F348" s="3">
        <f t="shared" ca="1" si="110"/>
        <v>4</v>
      </c>
      <c r="G348" s="3" t="str">
        <f t="shared" ca="1" si="111"/>
        <v>PG</v>
      </c>
      <c r="H348" s="3">
        <f t="shared" ca="1" si="112"/>
        <v>3</v>
      </c>
      <c r="I348" s="3">
        <f t="shared" ca="1" si="113"/>
        <v>1</v>
      </c>
      <c r="J348" s="3">
        <f t="shared" ca="1" si="114"/>
        <v>25</v>
      </c>
      <c r="K348" s="3" t="str">
        <f t="shared" ca="1" si="115"/>
        <v>Telangana</v>
      </c>
      <c r="L348" s="3">
        <f t="shared" ca="1" si="116"/>
        <v>26896</v>
      </c>
      <c r="M348" s="3">
        <f t="shared" ca="1" si="117"/>
        <v>242064</v>
      </c>
      <c r="N348" s="3">
        <f t="shared" ca="1" si="118"/>
        <v>214151.65954834846</v>
      </c>
      <c r="O348" s="3">
        <f t="shared" ca="1" si="119"/>
        <v>25431.623014458753</v>
      </c>
      <c r="P348" s="3">
        <f t="shared" ca="1" si="120"/>
        <v>14204.686459994629</v>
      </c>
      <c r="Q348" s="3">
        <f t="shared" ca="1" si="121"/>
        <v>9977.648273779374</v>
      </c>
      <c r="R348" s="3">
        <f t="shared" ca="1" si="122"/>
        <v>1734.1025650642912</v>
      </c>
      <c r="S348" s="3">
        <f t="shared" ca="1" si="123"/>
        <v>269229.72557952302</v>
      </c>
      <c r="T348" s="3">
        <f t="shared" ca="1" si="124"/>
        <v>238333.99428212247</v>
      </c>
      <c r="U348" s="5">
        <f t="shared" ca="1" si="125"/>
        <v>30895.731297400547</v>
      </c>
    </row>
    <row r="349" spans="1:21" x14ac:dyDescent="0.35">
      <c r="A349">
        <f t="shared" ca="1" si="107"/>
        <v>1</v>
      </c>
      <c r="B349" s="4" t="str">
        <f t="shared" ca="1" si="105"/>
        <v>M</v>
      </c>
      <c r="C349" s="3">
        <f t="shared" ca="1" si="108"/>
        <v>6</v>
      </c>
      <c r="D349" s="3">
        <f t="shared" ca="1" si="106"/>
        <v>19</v>
      </c>
      <c r="E349" s="3" t="str">
        <f t="shared" ca="1" si="109"/>
        <v>Art</v>
      </c>
      <c r="F349" s="3">
        <f t="shared" ca="1" si="110"/>
        <v>4</v>
      </c>
      <c r="G349" s="3" t="str">
        <f t="shared" ca="1" si="111"/>
        <v>PG</v>
      </c>
      <c r="H349" s="3">
        <f t="shared" ca="1" si="112"/>
        <v>4</v>
      </c>
      <c r="I349" s="3">
        <f t="shared" ca="1" si="113"/>
        <v>3</v>
      </c>
      <c r="J349" s="3">
        <f t="shared" ca="1" si="114"/>
        <v>7</v>
      </c>
      <c r="K349" s="3" t="str">
        <f t="shared" ca="1" si="115"/>
        <v>Assam</v>
      </c>
      <c r="L349" s="3">
        <f t="shared" ca="1" si="116"/>
        <v>93890</v>
      </c>
      <c r="M349" s="3">
        <f t="shared" ca="1" si="117"/>
        <v>845010</v>
      </c>
      <c r="N349" s="3">
        <f t="shared" ca="1" si="118"/>
        <v>699117.07323899912</v>
      </c>
      <c r="O349" s="3">
        <f t="shared" ca="1" si="119"/>
        <v>157727.3818210449</v>
      </c>
      <c r="P349" s="3">
        <f t="shared" ca="1" si="120"/>
        <v>102539.47819433549</v>
      </c>
      <c r="Q349" s="3">
        <f t="shared" ca="1" si="121"/>
        <v>82509.640313390133</v>
      </c>
      <c r="R349" s="3">
        <f t="shared" ca="1" si="122"/>
        <v>86359.543760817556</v>
      </c>
      <c r="S349" s="3">
        <f t="shared" ca="1" si="123"/>
        <v>1089096.9255818625</v>
      </c>
      <c r="T349" s="3">
        <f t="shared" ca="1" si="124"/>
        <v>884166.19174672477</v>
      </c>
      <c r="U349" s="5">
        <f t="shared" ca="1" si="125"/>
        <v>204930.73383513768</v>
      </c>
    </row>
    <row r="350" spans="1:21" x14ac:dyDescent="0.35">
      <c r="A350">
        <f t="shared" ca="1" si="107"/>
        <v>2</v>
      </c>
      <c r="B350" s="4" t="str">
        <f t="shared" ca="1" si="105"/>
        <v>F</v>
      </c>
      <c r="C350" s="3">
        <f t="shared" ca="1" si="108"/>
        <v>7</v>
      </c>
      <c r="D350" s="3">
        <f t="shared" ca="1" si="106"/>
        <v>19</v>
      </c>
      <c r="E350" s="3" t="str">
        <f t="shared" ca="1" si="109"/>
        <v>Other</v>
      </c>
      <c r="F350" s="3">
        <f t="shared" ca="1" si="110"/>
        <v>4</v>
      </c>
      <c r="G350" s="3" t="str">
        <f t="shared" ca="1" si="111"/>
        <v>PG</v>
      </c>
      <c r="H350" s="3">
        <f t="shared" ca="1" si="112"/>
        <v>3</v>
      </c>
      <c r="I350" s="3">
        <f t="shared" ca="1" si="113"/>
        <v>2</v>
      </c>
      <c r="J350" s="3">
        <f t="shared" ca="1" si="114"/>
        <v>19</v>
      </c>
      <c r="K350" s="3" t="str">
        <f t="shared" ca="1" si="115"/>
        <v>Mizoram</v>
      </c>
      <c r="L350" s="3">
        <f t="shared" ca="1" si="116"/>
        <v>92569</v>
      </c>
      <c r="M350" s="3">
        <f t="shared" ca="1" si="117"/>
        <v>555414</v>
      </c>
      <c r="N350" s="3">
        <f t="shared" ca="1" si="118"/>
        <v>273275.37280713517</v>
      </c>
      <c r="O350" s="3">
        <f t="shared" ca="1" si="119"/>
        <v>74252.229293249984</v>
      </c>
      <c r="P350" s="3">
        <f t="shared" ca="1" si="120"/>
        <v>72505.97274468567</v>
      </c>
      <c r="Q350" s="3">
        <f t="shared" ca="1" si="121"/>
        <v>1338.728468553692</v>
      </c>
      <c r="R350" s="3">
        <f t="shared" ca="1" si="122"/>
        <v>38442.583541769403</v>
      </c>
      <c r="S350" s="3">
        <f t="shared" ca="1" si="123"/>
        <v>668108.81283501943</v>
      </c>
      <c r="T350" s="3">
        <f t="shared" ca="1" si="124"/>
        <v>347120.07402037451</v>
      </c>
      <c r="U350" s="5">
        <f t="shared" ca="1" si="125"/>
        <v>320988.73881464492</v>
      </c>
    </row>
    <row r="351" spans="1:21" x14ac:dyDescent="0.35">
      <c r="A351">
        <f t="shared" ca="1" si="107"/>
        <v>1</v>
      </c>
      <c r="B351" s="4" t="str">
        <f t="shared" ca="1" si="105"/>
        <v>M</v>
      </c>
      <c r="C351" s="3">
        <f t="shared" ca="1" si="108"/>
        <v>3</v>
      </c>
      <c r="D351" s="3">
        <f t="shared" ca="1" si="106"/>
        <v>33</v>
      </c>
      <c r="E351" s="3" t="str">
        <f t="shared" ca="1" si="109"/>
        <v>IT</v>
      </c>
      <c r="F351" s="3">
        <f t="shared" ca="1" si="110"/>
        <v>3</v>
      </c>
      <c r="G351" s="3" t="str">
        <f t="shared" ca="1" si="111"/>
        <v>UG</v>
      </c>
      <c r="H351" s="3">
        <f t="shared" ca="1" si="112"/>
        <v>3</v>
      </c>
      <c r="I351" s="3">
        <f t="shared" ca="1" si="113"/>
        <v>0</v>
      </c>
      <c r="J351" s="3">
        <f t="shared" ca="1" si="114"/>
        <v>9</v>
      </c>
      <c r="K351" s="3" t="str">
        <f t="shared" ca="1" si="115"/>
        <v>Chhattisgarh</v>
      </c>
      <c r="L351" s="3">
        <f t="shared" ca="1" si="116"/>
        <v>70420</v>
      </c>
      <c r="M351" s="3">
        <f t="shared" ca="1" si="117"/>
        <v>633780</v>
      </c>
      <c r="N351" s="3">
        <f t="shared" ca="1" si="118"/>
        <v>556998.10139324982</v>
      </c>
      <c r="O351" s="3">
        <f t="shared" ca="1" si="119"/>
        <v>0</v>
      </c>
      <c r="P351" s="3">
        <f t="shared" ca="1" si="120"/>
        <v>0</v>
      </c>
      <c r="Q351" s="3">
        <f t="shared" ca="1" si="121"/>
        <v>28378.615756422711</v>
      </c>
      <c r="R351" s="3">
        <f t="shared" ca="1" si="122"/>
        <v>10685.083142625705</v>
      </c>
      <c r="S351" s="3">
        <f t="shared" ca="1" si="123"/>
        <v>644465.08314262575</v>
      </c>
      <c r="T351" s="3">
        <f t="shared" ca="1" si="124"/>
        <v>585376.71714967256</v>
      </c>
      <c r="U351" s="5">
        <f t="shared" ca="1" si="125"/>
        <v>59088.365992953186</v>
      </c>
    </row>
    <row r="352" spans="1:21" x14ac:dyDescent="0.35">
      <c r="A352">
        <f t="shared" ca="1" si="107"/>
        <v>2</v>
      </c>
      <c r="B352" s="4" t="str">
        <f t="shared" ca="1" si="105"/>
        <v>F</v>
      </c>
      <c r="C352" s="3">
        <f t="shared" ca="1" si="108"/>
        <v>3</v>
      </c>
      <c r="D352" s="3">
        <f t="shared" ca="1" si="106"/>
        <v>28</v>
      </c>
      <c r="E352" s="3" t="str">
        <f t="shared" ca="1" si="109"/>
        <v>IT</v>
      </c>
      <c r="F352" s="3">
        <f t="shared" ca="1" si="110"/>
        <v>4</v>
      </c>
      <c r="G352" s="3" t="str">
        <f t="shared" ca="1" si="111"/>
        <v>PG</v>
      </c>
      <c r="H352" s="3">
        <f t="shared" ca="1" si="112"/>
        <v>2</v>
      </c>
      <c r="I352" s="3">
        <f t="shared" ca="1" si="113"/>
        <v>3</v>
      </c>
      <c r="J352" s="3">
        <f t="shared" ca="1" si="114"/>
        <v>6</v>
      </c>
      <c r="K352" s="3" t="str">
        <f t="shared" ca="1" si="115"/>
        <v>Arunachal Pradesh</v>
      </c>
      <c r="L352" s="3">
        <f t="shared" ca="1" si="116"/>
        <v>37874</v>
      </c>
      <c r="M352" s="3">
        <f t="shared" ca="1" si="117"/>
        <v>302992</v>
      </c>
      <c r="N352" s="3">
        <f t="shared" ca="1" si="118"/>
        <v>119810.98267441872</v>
      </c>
      <c r="O352" s="3">
        <f t="shared" ca="1" si="119"/>
        <v>91136.241731030037</v>
      </c>
      <c r="P352" s="3">
        <f t="shared" ca="1" si="120"/>
        <v>22681.007151805774</v>
      </c>
      <c r="Q352" s="3">
        <f t="shared" ca="1" si="121"/>
        <v>34148.543582357459</v>
      </c>
      <c r="R352" s="3">
        <f t="shared" ca="1" si="122"/>
        <v>28362.608628906939</v>
      </c>
      <c r="S352" s="3">
        <f t="shared" ca="1" si="123"/>
        <v>422490.850359937</v>
      </c>
      <c r="T352" s="3">
        <f t="shared" ca="1" si="124"/>
        <v>176640.53340858195</v>
      </c>
      <c r="U352" s="5">
        <f t="shared" ca="1" si="125"/>
        <v>245850.31695135505</v>
      </c>
    </row>
    <row r="353" spans="1:21" x14ac:dyDescent="0.35">
      <c r="A353">
        <f t="shared" ca="1" si="107"/>
        <v>1</v>
      </c>
      <c r="B353" s="4" t="str">
        <f t="shared" ca="1" si="105"/>
        <v>M</v>
      </c>
      <c r="C353" s="3">
        <f t="shared" ca="1" si="108"/>
        <v>7</v>
      </c>
      <c r="D353" s="3">
        <f t="shared" ca="1" si="106"/>
        <v>30</v>
      </c>
      <c r="E353" s="3" t="str">
        <f t="shared" ca="1" si="109"/>
        <v>Other</v>
      </c>
      <c r="F353" s="3">
        <f t="shared" ca="1" si="110"/>
        <v>6</v>
      </c>
      <c r="G353" s="3" t="str">
        <f t="shared" ca="1" si="111"/>
        <v>Doctorate</v>
      </c>
      <c r="H353" s="3">
        <f t="shared" ca="1" si="112"/>
        <v>0</v>
      </c>
      <c r="I353" s="3">
        <f t="shared" ca="1" si="113"/>
        <v>2</v>
      </c>
      <c r="J353" s="3">
        <f t="shared" ca="1" si="114"/>
        <v>20</v>
      </c>
      <c r="K353" s="3" t="str">
        <f t="shared" ca="1" si="115"/>
        <v>Nagaland</v>
      </c>
      <c r="L353" s="3">
        <f t="shared" ca="1" si="116"/>
        <v>52745</v>
      </c>
      <c r="M353" s="3">
        <f t="shared" ca="1" si="117"/>
        <v>316470</v>
      </c>
      <c r="N353" s="3">
        <f t="shared" ca="1" si="118"/>
        <v>229610.60446728516</v>
      </c>
      <c r="O353" s="3">
        <f t="shared" ca="1" si="119"/>
        <v>57677.996941382167</v>
      </c>
      <c r="P353" s="3">
        <f t="shared" ca="1" si="120"/>
        <v>41652.711106406088</v>
      </c>
      <c r="Q353" s="3">
        <f t="shared" ca="1" si="121"/>
        <v>46039.325576219257</v>
      </c>
      <c r="R353" s="3">
        <f t="shared" ca="1" si="122"/>
        <v>23708.923731938707</v>
      </c>
      <c r="S353" s="3">
        <f t="shared" ca="1" si="123"/>
        <v>397856.92067332088</v>
      </c>
      <c r="T353" s="3">
        <f t="shared" ca="1" si="124"/>
        <v>317302.64114991052</v>
      </c>
      <c r="U353" s="5">
        <f t="shared" ca="1" si="125"/>
        <v>80554.279523410369</v>
      </c>
    </row>
    <row r="354" spans="1:21" x14ac:dyDescent="0.35">
      <c r="A354">
        <f t="shared" ca="1" si="107"/>
        <v>1</v>
      </c>
      <c r="B354" s="4" t="str">
        <f t="shared" ca="1" si="105"/>
        <v>M</v>
      </c>
      <c r="C354" s="3">
        <f t="shared" ca="1" si="108"/>
        <v>4</v>
      </c>
      <c r="D354" s="3">
        <f t="shared" ca="1" si="106"/>
        <v>41</v>
      </c>
      <c r="E354" s="3" t="str">
        <f t="shared" ca="1" si="109"/>
        <v>Accounting</v>
      </c>
      <c r="F354" s="3">
        <f t="shared" ca="1" si="110"/>
        <v>6</v>
      </c>
      <c r="G354" s="3" t="str">
        <f t="shared" ca="1" si="111"/>
        <v>Doctorate</v>
      </c>
      <c r="H354" s="3">
        <f t="shared" ca="1" si="112"/>
        <v>3</v>
      </c>
      <c r="I354" s="3">
        <f t="shared" ca="1" si="113"/>
        <v>0</v>
      </c>
      <c r="J354" s="3">
        <f t="shared" ca="1" si="114"/>
        <v>15</v>
      </c>
      <c r="K354" s="3" t="str">
        <f t="shared" ca="1" si="115"/>
        <v>Kerela</v>
      </c>
      <c r="L354" s="3">
        <f t="shared" ca="1" si="116"/>
        <v>89112</v>
      </c>
      <c r="M354" s="3">
        <f t="shared" ca="1" si="117"/>
        <v>534672</v>
      </c>
      <c r="N354" s="3">
        <f t="shared" ca="1" si="118"/>
        <v>220211.99716680494</v>
      </c>
      <c r="O354" s="3">
        <f t="shared" ca="1" si="119"/>
        <v>0</v>
      </c>
      <c r="P354" s="3">
        <f t="shared" ca="1" si="120"/>
        <v>0</v>
      </c>
      <c r="Q354" s="3">
        <f t="shared" ca="1" si="121"/>
        <v>57023.061293636623</v>
      </c>
      <c r="R354" s="3">
        <f t="shared" ca="1" si="122"/>
        <v>83832.790634655772</v>
      </c>
      <c r="S354" s="3">
        <f t="shared" ca="1" si="123"/>
        <v>618504.79063465574</v>
      </c>
      <c r="T354" s="3">
        <f t="shared" ca="1" si="124"/>
        <v>277235.05846044153</v>
      </c>
      <c r="U354" s="5">
        <f t="shared" ca="1" si="125"/>
        <v>341269.73217421421</v>
      </c>
    </row>
    <row r="355" spans="1:21" x14ac:dyDescent="0.35">
      <c r="A355">
        <f t="shared" ca="1" si="107"/>
        <v>1</v>
      </c>
      <c r="B355" s="4" t="str">
        <f t="shared" ca="1" si="105"/>
        <v>M</v>
      </c>
      <c r="C355" s="3">
        <f t="shared" ca="1" si="108"/>
        <v>2</v>
      </c>
      <c r="D355" s="3">
        <f t="shared" ca="1" si="106"/>
        <v>24</v>
      </c>
      <c r="E355" s="3" t="str">
        <f t="shared" ca="1" si="109"/>
        <v>Healthcare</v>
      </c>
      <c r="F355" s="3">
        <f t="shared" ca="1" si="110"/>
        <v>4</v>
      </c>
      <c r="G355" s="3" t="str">
        <f t="shared" ca="1" si="111"/>
        <v>PG</v>
      </c>
      <c r="H355" s="3">
        <f t="shared" ca="1" si="112"/>
        <v>4</v>
      </c>
      <c r="I355" s="3">
        <f t="shared" ca="1" si="113"/>
        <v>2</v>
      </c>
      <c r="J355" s="3">
        <f t="shared" ca="1" si="114"/>
        <v>14</v>
      </c>
      <c r="K355" s="3" t="str">
        <f t="shared" ca="1" si="115"/>
        <v>Karnataka</v>
      </c>
      <c r="L355" s="3">
        <f t="shared" ca="1" si="116"/>
        <v>49589</v>
      </c>
      <c r="M355" s="3">
        <f t="shared" ca="1" si="117"/>
        <v>347123</v>
      </c>
      <c r="N355" s="3">
        <f t="shared" ca="1" si="118"/>
        <v>231595.54530742366</v>
      </c>
      <c r="O355" s="3">
        <f t="shared" ca="1" si="119"/>
        <v>91582.53109911643</v>
      </c>
      <c r="P355" s="3">
        <f t="shared" ca="1" si="120"/>
        <v>33493.274450336648</v>
      </c>
      <c r="Q355" s="3">
        <f t="shared" ca="1" si="121"/>
        <v>38481.457957066195</v>
      </c>
      <c r="R355" s="3">
        <f t="shared" ca="1" si="122"/>
        <v>18254.619058689765</v>
      </c>
      <c r="S355" s="3">
        <f t="shared" ca="1" si="123"/>
        <v>456960.15015780617</v>
      </c>
      <c r="T355" s="3">
        <f t="shared" ca="1" si="124"/>
        <v>303570.27771482652</v>
      </c>
      <c r="U355" s="5">
        <f t="shared" ca="1" si="125"/>
        <v>153389.87244297966</v>
      </c>
    </row>
    <row r="356" spans="1:21" x14ac:dyDescent="0.35">
      <c r="A356">
        <f t="shared" ca="1" si="107"/>
        <v>2</v>
      </c>
      <c r="B356" s="4" t="str">
        <f t="shared" ca="1" si="105"/>
        <v>F</v>
      </c>
      <c r="C356" s="3">
        <f t="shared" ca="1" si="108"/>
        <v>7</v>
      </c>
      <c r="D356" s="3">
        <f t="shared" ca="1" si="106"/>
        <v>39</v>
      </c>
      <c r="E356" s="3" t="str">
        <f t="shared" ca="1" si="109"/>
        <v>Other</v>
      </c>
      <c r="F356" s="3">
        <f t="shared" ca="1" si="110"/>
        <v>3</v>
      </c>
      <c r="G356" s="3" t="str">
        <f t="shared" ca="1" si="111"/>
        <v>UG</v>
      </c>
      <c r="H356" s="3">
        <f t="shared" ca="1" si="112"/>
        <v>4</v>
      </c>
      <c r="I356" s="3">
        <f t="shared" ca="1" si="113"/>
        <v>1</v>
      </c>
      <c r="J356" s="3">
        <f t="shared" ca="1" si="114"/>
        <v>12</v>
      </c>
      <c r="K356" s="3" t="str">
        <f t="shared" ca="1" si="115"/>
        <v>Himachal Pradesh</v>
      </c>
      <c r="L356" s="3">
        <f t="shared" ca="1" si="116"/>
        <v>55548</v>
      </c>
      <c r="M356" s="3">
        <f t="shared" ca="1" si="117"/>
        <v>277740</v>
      </c>
      <c r="N356" s="3">
        <f t="shared" ca="1" si="118"/>
        <v>140732.9733146267</v>
      </c>
      <c r="O356" s="3">
        <f t="shared" ca="1" si="119"/>
        <v>51652.605653348779</v>
      </c>
      <c r="P356" s="3">
        <f t="shared" ca="1" si="120"/>
        <v>45356.899634452122</v>
      </c>
      <c r="Q356" s="3">
        <f t="shared" ca="1" si="121"/>
        <v>27557.947886893631</v>
      </c>
      <c r="R356" s="3">
        <f t="shared" ca="1" si="122"/>
        <v>44201.93854639538</v>
      </c>
      <c r="S356" s="3">
        <f t="shared" ca="1" si="123"/>
        <v>373594.54419974418</v>
      </c>
      <c r="T356" s="3">
        <f t="shared" ca="1" si="124"/>
        <v>213647.82083597247</v>
      </c>
      <c r="U356" s="5">
        <f t="shared" ca="1" si="125"/>
        <v>159946.72336377171</v>
      </c>
    </row>
    <row r="357" spans="1:21" x14ac:dyDescent="0.35">
      <c r="A357">
        <f t="shared" ca="1" si="107"/>
        <v>1</v>
      </c>
      <c r="B357" s="4" t="str">
        <f t="shared" ca="1" si="105"/>
        <v>M</v>
      </c>
      <c r="C357" s="3">
        <f t="shared" ca="1" si="108"/>
        <v>2</v>
      </c>
      <c r="D357" s="3">
        <f t="shared" ca="1" si="106"/>
        <v>33</v>
      </c>
      <c r="E357" s="3" t="str">
        <f t="shared" ca="1" si="109"/>
        <v>Healthcare</v>
      </c>
      <c r="F357" s="3">
        <f t="shared" ca="1" si="110"/>
        <v>7</v>
      </c>
      <c r="G357" s="3" t="str">
        <f t="shared" ca="1" si="111"/>
        <v>Other</v>
      </c>
      <c r="H357" s="3">
        <f t="shared" ca="1" si="112"/>
        <v>4</v>
      </c>
      <c r="I357" s="3">
        <f t="shared" ca="1" si="113"/>
        <v>2</v>
      </c>
      <c r="J357" s="3">
        <f t="shared" ca="1" si="114"/>
        <v>15</v>
      </c>
      <c r="K357" s="3" t="str">
        <f t="shared" ca="1" si="115"/>
        <v>Kerela</v>
      </c>
      <c r="L357" s="3">
        <f t="shared" ca="1" si="116"/>
        <v>28766</v>
      </c>
      <c r="M357" s="3">
        <f t="shared" ca="1" si="117"/>
        <v>201362</v>
      </c>
      <c r="N357" s="3">
        <f t="shared" ca="1" si="118"/>
        <v>76244.870987390925</v>
      </c>
      <c r="O357" s="3">
        <f t="shared" ca="1" si="119"/>
        <v>41353.235846973796</v>
      </c>
      <c r="P357" s="3">
        <f t="shared" ca="1" si="120"/>
        <v>8043.8414186313066</v>
      </c>
      <c r="Q357" s="3">
        <f t="shared" ca="1" si="121"/>
        <v>4335.0823608077289</v>
      </c>
      <c r="R357" s="3">
        <f t="shared" ca="1" si="122"/>
        <v>15013.937966167359</v>
      </c>
      <c r="S357" s="3">
        <f t="shared" ca="1" si="123"/>
        <v>257729.17381314113</v>
      </c>
      <c r="T357" s="3">
        <f t="shared" ca="1" si="124"/>
        <v>88623.79476682996</v>
      </c>
      <c r="U357" s="5">
        <f t="shared" ca="1" si="125"/>
        <v>169105.37904631117</v>
      </c>
    </row>
    <row r="358" spans="1:21" x14ac:dyDescent="0.35">
      <c r="A358">
        <f t="shared" ca="1" si="107"/>
        <v>2</v>
      </c>
      <c r="B358" s="4" t="str">
        <f t="shared" ca="1" si="105"/>
        <v>F</v>
      </c>
      <c r="C358" s="3">
        <f t="shared" ca="1" si="108"/>
        <v>7</v>
      </c>
      <c r="D358" s="3">
        <f t="shared" ca="1" si="106"/>
        <v>21</v>
      </c>
      <c r="E358" s="3" t="str">
        <f t="shared" ca="1" si="109"/>
        <v>Other</v>
      </c>
      <c r="F358" s="3">
        <f t="shared" ca="1" si="110"/>
        <v>1</v>
      </c>
      <c r="G358" s="3" t="str">
        <f t="shared" ca="1" si="111"/>
        <v>Secondary</v>
      </c>
      <c r="H358" s="3">
        <f t="shared" ca="1" si="112"/>
        <v>1</v>
      </c>
      <c r="I358" s="3">
        <f t="shared" ca="1" si="113"/>
        <v>1</v>
      </c>
      <c r="J358" s="3">
        <f t="shared" ca="1" si="114"/>
        <v>14</v>
      </c>
      <c r="K358" s="3" t="str">
        <f t="shared" ca="1" si="115"/>
        <v>Karnataka</v>
      </c>
      <c r="L358" s="3">
        <f t="shared" ca="1" si="116"/>
        <v>79923</v>
      </c>
      <c r="M358" s="3">
        <f t="shared" ca="1" si="117"/>
        <v>559461</v>
      </c>
      <c r="N358" s="3">
        <f t="shared" ca="1" si="118"/>
        <v>347883.73168001021</v>
      </c>
      <c r="O358" s="3">
        <f t="shared" ca="1" si="119"/>
        <v>320.28670364060667</v>
      </c>
      <c r="P358" s="3">
        <f t="shared" ca="1" si="120"/>
        <v>141.34121139190526</v>
      </c>
      <c r="Q358" s="3">
        <f t="shared" ca="1" si="121"/>
        <v>73318.225620273006</v>
      </c>
      <c r="R358" s="3">
        <f t="shared" ca="1" si="122"/>
        <v>52868.655049265733</v>
      </c>
      <c r="S358" s="3">
        <f t="shared" ca="1" si="123"/>
        <v>612649.94175290631</v>
      </c>
      <c r="T358" s="3">
        <f t="shared" ca="1" si="124"/>
        <v>421343.29851167509</v>
      </c>
      <c r="U358" s="5">
        <f t="shared" ca="1" si="125"/>
        <v>191306.64324123121</v>
      </c>
    </row>
    <row r="359" spans="1:21" x14ac:dyDescent="0.35">
      <c r="A359">
        <f t="shared" ca="1" si="107"/>
        <v>1</v>
      </c>
      <c r="B359" s="4" t="str">
        <f t="shared" ca="1" si="105"/>
        <v>M</v>
      </c>
      <c r="C359" s="3">
        <f t="shared" ca="1" si="108"/>
        <v>7</v>
      </c>
      <c r="D359" s="3">
        <f t="shared" ca="1" si="106"/>
        <v>41</v>
      </c>
      <c r="E359" s="3" t="str">
        <f t="shared" ca="1" si="109"/>
        <v>Other</v>
      </c>
      <c r="F359" s="3">
        <f t="shared" ca="1" si="110"/>
        <v>2</v>
      </c>
      <c r="G359" s="3" t="str">
        <f t="shared" ca="1" si="111"/>
        <v>Senior Secondary</v>
      </c>
      <c r="H359" s="3">
        <f t="shared" ca="1" si="112"/>
        <v>1</v>
      </c>
      <c r="I359" s="3">
        <f t="shared" ca="1" si="113"/>
        <v>1</v>
      </c>
      <c r="J359" s="3">
        <f t="shared" ca="1" si="114"/>
        <v>20</v>
      </c>
      <c r="K359" s="3" t="str">
        <f t="shared" ca="1" si="115"/>
        <v>Nagaland</v>
      </c>
      <c r="L359" s="3">
        <f t="shared" ca="1" si="116"/>
        <v>44919</v>
      </c>
      <c r="M359" s="3">
        <f t="shared" ca="1" si="117"/>
        <v>314433</v>
      </c>
      <c r="N359" s="3">
        <f t="shared" ca="1" si="118"/>
        <v>118149.96955414224</v>
      </c>
      <c r="O359" s="3">
        <f t="shared" ca="1" si="119"/>
        <v>31946.34796178278</v>
      </c>
      <c r="P359" s="3">
        <f t="shared" ca="1" si="120"/>
        <v>21059.744766572116</v>
      </c>
      <c r="Q359" s="3">
        <f t="shared" ca="1" si="121"/>
        <v>23795.496294760025</v>
      </c>
      <c r="R359" s="3">
        <f t="shared" ca="1" si="122"/>
        <v>44102.02786844693</v>
      </c>
      <c r="S359" s="3">
        <f t="shared" ca="1" si="123"/>
        <v>390481.37583022972</v>
      </c>
      <c r="T359" s="3">
        <f t="shared" ca="1" si="124"/>
        <v>163005.21061547438</v>
      </c>
      <c r="U359" s="5">
        <f t="shared" ca="1" si="125"/>
        <v>227476.16521475534</v>
      </c>
    </row>
    <row r="360" spans="1:21" x14ac:dyDescent="0.35">
      <c r="A360">
        <f t="shared" ca="1" si="107"/>
        <v>2</v>
      </c>
      <c r="B360" s="4" t="str">
        <f t="shared" ca="1" si="105"/>
        <v>F</v>
      </c>
      <c r="C360" s="3">
        <f t="shared" ca="1" si="108"/>
        <v>1</v>
      </c>
      <c r="D360" s="3">
        <f t="shared" ca="1" si="106"/>
        <v>28</v>
      </c>
      <c r="E360" s="3" t="str">
        <f t="shared" ca="1" si="109"/>
        <v>Engineering</v>
      </c>
      <c r="F360" s="3">
        <f t="shared" ca="1" si="110"/>
        <v>1</v>
      </c>
      <c r="G360" s="3" t="str">
        <f t="shared" ca="1" si="111"/>
        <v>Secondary</v>
      </c>
      <c r="H360" s="3">
        <f t="shared" ca="1" si="112"/>
        <v>4</v>
      </c>
      <c r="I360" s="3">
        <f t="shared" ca="1" si="113"/>
        <v>1</v>
      </c>
      <c r="J360" s="3">
        <f t="shared" ca="1" si="114"/>
        <v>20</v>
      </c>
      <c r="K360" s="3" t="str">
        <f t="shared" ca="1" si="115"/>
        <v>Nagaland</v>
      </c>
      <c r="L360" s="3">
        <f t="shared" ca="1" si="116"/>
        <v>38467</v>
      </c>
      <c r="M360" s="3">
        <f t="shared" ca="1" si="117"/>
        <v>346203</v>
      </c>
      <c r="N360" s="3">
        <f t="shared" ca="1" si="118"/>
        <v>60054.05578815256</v>
      </c>
      <c r="O360" s="3">
        <f t="shared" ca="1" si="119"/>
        <v>232.27304214434307</v>
      </c>
      <c r="P360" s="3">
        <f t="shared" ca="1" si="120"/>
        <v>168.6509048987165</v>
      </c>
      <c r="Q360" s="3">
        <f t="shared" ca="1" si="121"/>
        <v>8473.3774137949349</v>
      </c>
      <c r="R360" s="3">
        <f t="shared" ca="1" si="122"/>
        <v>8818.1566153986805</v>
      </c>
      <c r="S360" s="3">
        <f t="shared" ca="1" si="123"/>
        <v>355253.42965754308</v>
      </c>
      <c r="T360" s="3">
        <f t="shared" ca="1" si="124"/>
        <v>68696.084106846203</v>
      </c>
      <c r="U360" s="5">
        <f t="shared" ca="1" si="125"/>
        <v>286557.34555069689</v>
      </c>
    </row>
    <row r="361" spans="1:21" x14ac:dyDescent="0.35">
      <c r="A361">
        <f t="shared" ca="1" si="107"/>
        <v>1</v>
      </c>
      <c r="B361" s="4" t="str">
        <f t="shared" ca="1" si="105"/>
        <v>M</v>
      </c>
      <c r="C361" s="3">
        <f t="shared" ca="1" si="108"/>
        <v>5</v>
      </c>
      <c r="D361" s="3">
        <f t="shared" ca="1" si="106"/>
        <v>18</v>
      </c>
      <c r="E361" s="3" t="str">
        <f t="shared" ca="1" si="109"/>
        <v>Research</v>
      </c>
      <c r="F361" s="3">
        <f t="shared" ca="1" si="110"/>
        <v>3</v>
      </c>
      <c r="G361" s="3" t="str">
        <f t="shared" ca="1" si="111"/>
        <v>UG</v>
      </c>
      <c r="H361" s="3">
        <f t="shared" ca="1" si="112"/>
        <v>2</v>
      </c>
      <c r="I361" s="3">
        <f t="shared" ca="1" si="113"/>
        <v>2</v>
      </c>
      <c r="J361" s="3">
        <f t="shared" ca="1" si="114"/>
        <v>26</v>
      </c>
      <c r="K361" s="3" t="str">
        <f t="shared" ca="1" si="115"/>
        <v>Tripura</v>
      </c>
      <c r="L361" s="3">
        <f t="shared" ca="1" si="116"/>
        <v>93081</v>
      </c>
      <c r="M361" s="3">
        <f t="shared" ca="1" si="117"/>
        <v>558486</v>
      </c>
      <c r="N361" s="3">
        <f t="shared" ca="1" si="118"/>
        <v>399852.66214345885</v>
      </c>
      <c r="O361" s="3">
        <f t="shared" ca="1" si="119"/>
        <v>45198.681062262243</v>
      </c>
      <c r="P361" s="3">
        <f t="shared" ca="1" si="120"/>
        <v>28177.49228878018</v>
      </c>
      <c r="Q361" s="3">
        <f t="shared" ca="1" si="121"/>
        <v>72683.501346491001</v>
      </c>
      <c r="R361" s="3">
        <f t="shared" ca="1" si="122"/>
        <v>21803.129041746281</v>
      </c>
      <c r="S361" s="3">
        <f t="shared" ca="1" si="123"/>
        <v>625487.81010400853</v>
      </c>
      <c r="T361" s="3">
        <f t="shared" ca="1" si="124"/>
        <v>500713.65577873</v>
      </c>
      <c r="U361" s="5">
        <f t="shared" ca="1" si="125"/>
        <v>124774.15432527853</v>
      </c>
    </row>
    <row r="362" spans="1:21" x14ac:dyDescent="0.35">
      <c r="A362">
        <f t="shared" ca="1" si="107"/>
        <v>2</v>
      </c>
      <c r="B362" s="4" t="str">
        <f t="shared" ca="1" si="105"/>
        <v>F</v>
      </c>
      <c r="C362" s="3">
        <f t="shared" ca="1" si="108"/>
        <v>5</v>
      </c>
      <c r="D362" s="3">
        <f t="shared" ca="1" si="106"/>
        <v>27</v>
      </c>
      <c r="E362" s="3" t="str">
        <f t="shared" ca="1" si="109"/>
        <v>Research</v>
      </c>
      <c r="F362" s="3">
        <f t="shared" ca="1" si="110"/>
        <v>3</v>
      </c>
      <c r="G362" s="3" t="str">
        <f t="shared" ca="1" si="111"/>
        <v>UG</v>
      </c>
      <c r="H362" s="3">
        <f t="shared" ca="1" si="112"/>
        <v>2</v>
      </c>
      <c r="I362" s="3">
        <f t="shared" ca="1" si="113"/>
        <v>2</v>
      </c>
      <c r="J362" s="3">
        <f t="shared" ca="1" si="114"/>
        <v>25</v>
      </c>
      <c r="K362" s="3" t="str">
        <f t="shared" ca="1" si="115"/>
        <v>Telangana</v>
      </c>
      <c r="L362" s="3">
        <f t="shared" ca="1" si="116"/>
        <v>75702</v>
      </c>
      <c r="M362" s="3">
        <f t="shared" ca="1" si="117"/>
        <v>454212</v>
      </c>
      <c r="N362" s="3">
        <f t="shared" ca="1" si="118"/>
        <v>238073.5880958034</v>
      </c>
      <c r="O362" s="3">
        <f t="shared" ca="1" si="119"/>
        <v>144684.90858734108</v>
      </c>
      <c r="P362" s="3">
        <f t="shared" ca="1" si="120"/>
        <v>76430.82082848117</v>
      </c>
      <c r="Q362" s="3">
        <f t="shared" ca="1" si="121"/>
        <v>63137.308926613972</v>
      </c>
      <c r="R362" s="3">
        <f t="shared" ca="1" si="122"/>
        <v>13601.260670902313</v>
      </c>
      <c r="S362" s="3">
        <f t="shared" ca="1" si="123"/>
        <v>612498.1692582434</v>
      </c>
      <c r="T362" s="3">
        <f t="shared" ca="1" si="124"/>
        <v>377641.71785089851</v>
      </c>
      <c r="U362" s="5">
        <f t="shared" ca="1" si="125"/>
        <v>234856.4514073449</v>
      </c>
    </row>
    <row r="363" spans="1:21" x14ac:dyDescent="0.35">
      <c r="A363">
        <f t="shared" ca="1" si="107"/>
        <v>2</v>
      </c>
      <c r="B363" s="4" t="str">
        <f t="shared" ca="1" si="105"/>
        <v>F</v>
      </c>
      <c r="C363" s="3">
        <f t="shared" ca="1" si="108"/>
        <v>6</v>
      </c>
      <c r="D363" s="3">
        <f t="shared" ca="1" si="106"/>
        <v>45</v>
      </c>
      <c r="E363" s="3" t="str">
        <f t="shared" ca="1" si="109"/>
        <v>Art</v>
      </c>
      <c r="F363" s="3">
        <f t="shared" ca="1" si="110"/>
        <v>6</v>
      </c>
      <c r="G363" s="3" t="str">
        <f t="shared" ca="1" si="111"/>
        <v>Doctorate</v>
      </c>
      <c r="H363" s="3">
        <f t="shared" ca="1" si="112"/>
        <v>4</v>
      </c>
      <c r="I363" s="3">
        <f t="shared" ca="1" si="113"/>
        <v>0</v>
      </c>
      <c r="J363" s="3">
        <f t="shared" ca="1" si="114"/>
        <v>21</v>
      </c>
      <c r="K363" s="3" t="str">
        <f t="shared" ca="1" si="115"/>
        <v>Odisha</v>
      </c>
      <c r="L363" s="3">
        <f t="shared" ca="1" si="116"/>
        <v>80011</v>
      </c>
      <c r="M363" s="3">
        <f t="shared" ca="1" si="117"/>
        <v>480066</v>
      </c>
      <c r="N363" s="3">
        <f t="shared" ca="1" si="118"/>
        <v>261835.7177590724</v>
      </c>
      <c r="O363" s="3">
        <f t="shared" ca="1" si="119"/>
        <v>0</v>
      </c>
      <c r="P363" s="3">
        <f t="shared" ca="1" si="120"/>
        <v>0</v>
      </c>
      <c r="Q363" s="3">
        <f t="shared" ca="1" si="121"/>
        <v>54227.836880615985</v>
      </c>
      <c r="R363" s="3">
        <f t="shared" ca="1" si="122"/>
        <v>6995.300042696038</v>
      </c>
      <c r="S363" s="3">
        <f t="shared" ca="1" si="123"/>
        <v>487061.30004269606</v>
      </c>
      <c r="T363" s="3">
        <f t="shared" ca="1" si="124"/>
        <v>316063.5546396884</v>
      </c>
      <c r="U363" s="5">
        <f t="shared" ca="1" si="125"/>
        <v>170997.74540300766</v>
      </c>
    </row>
    <row r="364" spans="1:21" x14ac:dyDescent="0.35">
      <c r="A364">
        <f t="shared" ca="1" si="107"/>
        <v>2</v>
      </c>
      <c r="B364" s="4" t="str">
        <f t="shared" ca="1" si="105"/>
        <v>F</v>
      </c>
      <c r="C364" s="3">
        <f t="shared" ca="1" si="108"/>
        <v>7</v>
      </c>
      <c r="D364" s="3">
        <f t="shared" ca="1" si="106"/>
        <v>21</v>
      </c>
      <c r="E364" s="3" t="str">
        <f t="shared" ca="1" si="109"/>
        <v>Other</v>
      </c>
      <c r="F364" s="3">
        <f t="shared" ca="1" si="110"/>
        <v>5</v>
      </c>
      <c r="G364" s="3" t="str">
        <f t="shared" ca="1" si="111"/>
        <v>Diploma</v>
      </c>
      <c r="H364" s="3">
        <f t="shared" ca="1" si="112"/>
        <v>3</v>
      </c>
      <c r="I364" s="3">
        <f t="shared" ca="1" si="113"/>
        <v>3</v>
      </c>
      <c r="J364" s="3">
        <f t="shared" ca="1" si="114"/>
        <v>23</v>
      </c>
      <c r="K364" s="3" t="str">
        <f t="shared" ca="1" si="115"/>
        <v>Sikkim</v>
      </c>
      <c r="L364" s="3">
        <f t="shared" ca="1" si="116"/>
        <v>29537</v>
      </c>
      <c r="M364" s="3">
        <f t="shared" ca="1" si="117"/>
        <v>177222</v>
      </c>
      <c r="N364" s="3">
        <f t="shared" ca="1" si="118"/>
        <v>106943.61754480502</v>
      </c>
      <c r="O364" s="3">
        <f t="shared" ca="1" si="119"/>
        <v>12331.010285643119</v>
      </c>
      <c r="P364" s="3">
        <f t="shared" ca="1" si="120"/>
        <v>2519.4478904965317</v>
      </c>
      <c r="Q364" s="3">
        <f t="shared" ca="1" si="121"/>
        <v>20344.246443050582</v>
      </c>
      <c r="R364" s="3">
        <f t="shared" ca="1" si="122"/>
        <v>12896.553442154876</v>
      </c>
      <c r="S364" s="3">
        <f t="shared" ca="1" si="123"/>
        <v>202449.56372779797</v>
      </c>
      <c r="T364" s="3">
        <f t="shared" ca="1" si="124"/>
        <v>129807.31187835213</v>
      </c>
      <c r="U364" s="5">
        <f t="shared" ca="1" si="125"/>
        <v>72642.251849445835</v>
      </c>
    </row>
    <row r="365" spans="1:21" x14ac:dyDescent="0.35">
      <c r="A365">
        <f t="shared" ca="1" si="107"/>
        <v>2</v>
      </c>
      <c r="B365" s="4" t="str">
        <f t="shared" ca="1" si="105"/>
        <v>F</v>
      </c>
      <c r="C365" s="3">
        <f t="shared" ca="1" si="108"/>
        <v>2</v>
      </c>
      <c r="D365" s="3">
        <f t="shared" ca="1" si="106"/>
        <v>42</v>
      </c>
      <c r="E365" s="3" t="str">
        <f t="shared" ca="1" si="109"/>
        <v>Healthcare</v>
      </c>
      <c r="F365" s="3">
        <f t="shared" ca="1" si="110"/>
        <v>3</v>
      </c>
      <c r="G365" s="3" t="str">
        <f t="shared" ca="1" si="111"/>
        <v>UG</v>
      </c>
      <c r="H365" s="3">
        <f t="shared" ca="1" si="112"/>
        <v>1</v>
      </c>
      <c r="I365" s="3">
        <f t="shared" ca="1" si="113"/>
        <v>3</v>
      </c>
      <c r="J365" s="3">
        <f t="shared" ca="1" si="114"/>
        <v>20</v>
      </c>
      <c r="K365" s="3" t="str">
        <f t="shared" ca="1" si="115"/>
        <v>Nagaland</v>
      </c>
      <c r="L365" s="3">
        <f t="shared" ca="1" si="116"/>
        <v>88704</v>
      </c>
      <c r="M365" s="3">
        <f t="shared" ca="1" si="117"/>
        <v>532224</v>
      </c>
      <c r="N365" s="3">
        <f t="shared" ca="1" si="118"/>
        <v>274840.01845405798</v>
      </c>
      <c r="O365" s="3">
        <f t="shared" ca="1" si="119"/>
        <v>186851.14361773196</v>
      </c>
      <c r="P365" s="3">
        <f t="shared" ca="1" si="120"/>
        <v>128869.24839161334</v>
      </c>
      <c r="Q365" s="3">
        <f t="shared" ca="1" si="121"/>
        <v>24947.469286400861</v>
      </c>
      <c r="R365" s="3">
        <f t="shared" ca="1" si="122"/>
        <v>80859.261941986304</v>
      </c>
      <c r="S365" s="3">
        <f t="shared" ca="1" si="123"/>
        <v>799934.40555971826</v>
      </c>
      <c r="T365" s="3">
        <f t="shared" ca="1" si="124"/>
        <v>428656.73613207223</v>
      </c>
      <c r="U365" s="5">
        <f t="shared" ca="1" si="125"/>
        <v>371277.66942764603</v>
      </c>
    </row>
    <row r="366" spans="1:21" x14ac:dyDescent="0.35">
      <c r="A366">
        <f t="shared" ca="1" si="107"/>
        <v>2</v>
      </c>
      <c r="B366" s="4" t="str">
        <f t="shared" ca="1" si="105"/>
        <v>F</v>
      </c>
      <c r="C366" s="3">
        <f t="shared" ca="1" si="108"/>
        <v>6</v>
      </c>
      <c r="D366" s="3">
        <f t="shared" ca="1" si="106"/>
        <v>33</v>
      </c>
      <c r="E366" s="3" t="str">
        <f t="shared" ca="1" si="109"/>
        <v>Art</v>
      </c>
      <c r="F366" s="3">
        <f t="shared" ca="1" si="110"/>
        <v>7</v>
      </c>
      <c r="G366" s="3" t="str">
        <f t="shared" ca="1" si="111"/>
        <v>Other</v>
      </c>
      <c r="H366" s="3">
        <f t="shared" ca="1" si="112"/>
        <v>1</v>
      </c>
      <c r="I366" s="3">
        <f t="shared" ca="1" si="113"/>
        <v>0</v>
      </c>
      <c r="J366" s="3">
        <f t="shared" ca="1" si="114"/>
        <v>14</v>
      </c>
      <c r="K366" s="3" t="str">
        <f t="shared" ca="1" si="115"/>
        <v>Karnataka</v>
      </c>
      <c r="L366" s="3">
        <f t="shared" ca="1" si="116"/>
        <v>34646</v>
      </c>
      <c r="M366" s="3">
        <f t="shared" ca="1" si="117"/>
        <v>242522</v>
      </c>
      <c r="N366" s="3">
        <f t="shared" ca="1" si="118"/>
        <v>136651.73078330758</v>
      </c>
      <c r="O366" s="3">
        <f t="shared" ca="1" si="119"/>
        <v>0</v>
      </c>
      <c r="P366" s="3">
        <f t="shared" ca="1" si="120"/>
        <v>0</v>
      </c>
      <c r="Q366" s="3">
        <f t="shared" ca="1" si="121"/>
        <v>14966.783674088803</v>
      </c>
      <c r="R366" s="3">
        <f t="shared" ca="1" si="122"/>
        <v>9505.2949322699715</v>
      </c>
      <c r="S366" s="3">
        <f t="shared" ca="1" si="123"/>
        <v>252027.29493226996</v>
      </c>
      <c r="T366" s="3">
        <f t="shared" ca="1" si="124"/>
        <v>151618.51445739638</v>
      </c>
      <c r="U366" s="5">
        <f t="shared" ca="1" si="125"/>
        <v>100408.78047487358</v>
      </c>
    </row>
    <row r="367" spans="1:21" x14ac:dyDescent="0.35">
      <c r="A367">
        <f t="shared" ca="1" si="107"/>
        <v>1</v>
      </c>
      <c r="B367" s="4" t="str">
        <f t="shared" ca="1" si="105"/>
        <v>M</v>
      </c>
      <c r="C367" s="3">
        <f t="shared" ca="1" si="108"/>
        <v>1</v>
      </c>
      <c r="D367" s="3">
        <f t="shared" ca="1" si="106"/>
        <v>45</v>
      </c>
      <c r="E367" s="3" t="str">
        <f t="shared" ca="1" si="109"/>
        <v>Engineering</v>
      </c>
      <c r="F367" s="3">
        <f t="shared" ca="1" si="110"/>
        <v>7</v>
      </c>
      <c r="G367" s="3" t="str">
        <f t="shared" ca="1" si="111"/>
        <v>Other</v>
      </c>
      <c r="H367" s="3">
        <f t="shared" ca="1" si="112"/>
        <v>1</v>
      </c>
      <c r="I367" s="3">
        <f t="shared" ca="1" si="113"/>
        <v>0</v>
      </c>
      <c r="J367" s="3">
        <f t="shared" ca="1" si="114"/>
        <v>19</v>
      </c>
      <c r="K367" s="3" t="str">
        <f t="shared" ca="1" si="115"/>
        <v>Mizoram</v>
      </c>
      <c r="L367" s="3">
        <f t="shared" ca="1" si="116"/>
        <v>96803</v>
      </c>
      <c r="M367" s="3">
        <f t="shared" ca="1" si="117"/>
        <v>484015</v>
      </c>
      <c r="N367" s="3">
        <f t="shared" ca="1" si="118"/>
        <v>441905.95467288693</v>
      </c>
      <c r="O367" s="3">
        <f t="shared" ca="1" si="119"/>
        <v>0</v>
      </c>
      <c r="P367" s="3">
        <f t="shared" ca="1" si="120"/>
        <v>0</v>
      </c>
      <c r="Q367" s="3">
        <f t="shared" ca="1" si="121"/>
        <v>29356.029725198674</v>
      </c>
      <c r="R367" s="3">
        <f t="shared" ca="1" si="122"/>
        <v>76214.730447558293</v>
      </c>
      <c r="S367" s="3">
        <f t="shared" ca="1" si="123"/>
        <v>560229.73044755834</v>
      </c>
      <c r="T367" s="3">
        <f t="shared" ca="1" si="124"/>
        <v>471261.98439808562</v>
      </c>
      <c r="U367" s="5">
        <f t="shared" ca="1" si="125"/>
        <v>88967.746049472713</v>
      </c>
    </row>
    <row r="368" spans="1:21" x14ac:dyDescent="0.35">
      <c r="A368">
        <f t="shared" ca="1" si="107"/>
        <v>1</v>
      </c>
      <c r="B368" s="4" t="str">
        <f t="shared" ca="1" si="105"/>
        <v>M</v>
      </c>
      <c r="C368" s="3">
        <f t="shared" ca="1" si="108"/>
        <v>1</v>
      </c>
      <c r="D368" s="3">
        <f t="shared" ca="1" si="106"/>
        <v>42</v>
      </c>
      <c r="E368" s="3" t="str">
        <f t="shared" ca="1" si="109"/>
        <v>Engineering</v>
      </c>
      <c r="F368" s="3">
        <f t="shared" ca="1" si="110"/>
        <v>4</v>
      </c>
      <c r="G368" s="3" t="str">
        <f t="shared" ca="1" si="111"/>
        <v>PG</v>
      </c>
      <c r="H368" s="3">
        <f t="shared" ca="1" si="112"/>
        <v>1</v>
      </c>
      <c r="I368" s="3">
        <f t="shared" ca="1" si="113"/>
        <v>2</v>
      </c>
      <c r="J368" s="3">
        <f t="shared" ca="1" si="114"/>
        <v>15</v>
      </c>
      <c r="K368" s="3" t="str">
        <f t="shared" ca="1" si="115"/>
        <v>Kerela</v>
      </c>
      <c r="L368" s="3">
        <f t="shared" ca="1" si="116"/>
        <v>93090</v>
      </c>
      <c r="M368" s="3">
        <f t="shared" ca="1" si="117"/>
        <v>558540</v>
      </c>
      <c r="N368" s="3">
        <f t="shared" ca="1" si="118"/>
        <v>243800.91287988151</v>
      </c>
      <c r="O368" s="3">
        <f t="shared" ca="1" si="119"/>
        <v>104362.47821110228</v>
      </c>
      <c r="P368" s="3">
        <f t="shared" ca="1" si="120"/>
        <v>56201.739651033764</v>
      </c>
      <c r="Q368" s="3">
        <f t="shared" ca="1" si="121"/>
        <v>9498.6060858529145</v>
      </c>
      <c r="R368" s="3">
        <f t="shared" ca="1" si="122"/>
        <v>67209.905705274417</v>
      </c>
      <c r="S368" s="3">
        <f t="shared" ca="1" si="123"/>
        <v>730112.38391637674</v>
      </c>
      <c r="T368" s="3">
        <f t="shared" ca="1" si="124"/>
        <v>309501.25861676817</v>
      </c>
      <c r="U368" s="5">
        <f t="shared" ca="1" si="125"/>
        <v>420611.12529960857</v>
      </c>
    </row>
    <row r="369" spans="1:21" x14ac:dyDescent="0.35">
      <c r="A369">
        <f t="shared" ca="1" si="107"/>
        <v>1</v>
      </c>
      <c r="B369" s="4" t="str">
        <f t="shared" ca="1" si="105"/>
        <v>M</v>
      </c>
      <c r="C369" s="3">
        <f t="shared" ca="1" si="108"/>
        <v>3</v>
      </c>
      <c r="D369" s="3">
        <f t="shared" ca="1" si="106"/>
        <v>39</v>
      </c>
      <c r="E369" s="3" t="str">
        <f t="shared" ca="1" si="109"/>
        <v>IT</v>
      </c>
      <c r="F369" s="3">
        <f t="shared" ca="1" si="110"/>
        <v>6</v>
      </c>
      <c r="G369" s="3" t="str">
        <f t="shared" ca="1" si="111"/>
        <v>Doctorate</v>
      </c>
      <c r="H369" s="3">
        <f t="shared" ca="1" si="112"/>
        <v>0</v>
      </c>
      <c r="I369" s="3">
        <f t="shared" ca="1" si="113"/>
        <v>1</v>
      </c>
      <c r="J369" s="3">
        <f t="shared" ca="1" si="114"/>
        <v>28</v>
      </c>
      <c r="K369" s="3" t="str">
        <f t="shared" ca="1" si="115"/>
        <v>West Bengal</v>
      </c>
      <c r="L369" s="3">
        <f t="shared" ca="1" si="116"/>
        <v>82406</v>
      </c>
      <c r="M369" s="3">
        <f t="shared" ca="1" si="117"/>
        <v>494436</v>
      </c>
      <c r="N369" s="3">
        <f t="shared" ca="1" si="118"/>
        <v>255762.78461473598</v>
      </c>
      <c r="O369" s="3">
        <f t="shared" ca="1" si="119"/>
        <v>43483.383945141337</v>
      </c>
      <c r="P369" s="3">
        <f t="shared" ca="1" si="120"/>
        <v>26560.678328620223</v>
      </c>
      <c r="Q369" s="3">
        <f t="shared" ca="1" si="121"/>
        <v>42280.777300282018</v>
      </c>
      <c r="R369" s="3">
        <f t="shared" ca="1" si="122"/>
        <v>7283.4070252346046</v>
      </c>
      <c r="S369" s="3">
        <f t="shared" ca="1" si="123"/>
        <v>545202.79097037599</v>
      </c>
      <c r="T369" s="3">
        <f t="shared" ca="1" si="124"/>
        <v>324604.24024363823</v>
      </c>
      <c r="U369" s="5">
        <f t="shared" ca="1" si="125"/>
        <v>220598.55072673777</v>
      </c>
    </row>
    <row r="370" spans="1:21" x14ac:dyDescent="0.35">
      <c r="A370">
        <f t="shared" ca="1" si="107"/>
        <v>1</v>
      </c>
      <c r="B370" s="4" t="str">
        <f t="shared" ca="1" si="105"/>
        <v>M</v>
      </c>
      <c r="C370" s="3">
        <f t="shared" ca="1" si="108"/>
        <v>3</v>
      </c>
      <c r="D370" s="3">
        <f t="shared" ca="1" si="106"/>
        <v>31</v>
      </c>
      <c r="E370" s="3" t="str">
        <f t="shared" ca="1" si="109"/>
        <v>IT</v>
      </c>
      <c r="F370" s="3">
        <f t="shared" ca="1" si="110"/>
        <v>5</v>
      </c>
      <c r="G370" s="3" t="str">
        <f t="shared" ca="1" si="111"/>
        <v>Diploma</v>
      </c>
      <c r="H370" s="3">
        <f t="shared" ca="1" si="112"/>
        <v>3</v>
      </c>
      <c r="I370" s="3">
        <f t="shared" ca="1" si="113"/>
        <v>2</v>
      </c>
      <c r="J370" s="3">
        <f t="shared" ca="1" si="114"/>
        <v>3</v>
      </c>
      <c r="K370" s="3" t="str">
        <f t="shared" ca="1" si="115"/>
        <v>Punjab</v>
      </c>
      <c r="L370" s="3">
        <f t="shared" ca="1" si="116"/>
        <v>75144</v>
      </c>
      <c r="M370" s="3">
        <f t="shared" ca="1" si="117"/>
        <v>450864</v>
      </c>
      <c r="N370" s="3">
        <f t="shared" ca="1" si="118"/>
        <v>157465.96738362993</v>
      </c>
      <c r="O370" s="3">
        <f t="shared" ca="1" si="119"/>
        <v>118233.42841031193</v>
      </c>
      <c r="P370" s="3">
        <f t="shared" ca="1" si="120"/>
        <v>11572.058678254225</v>
      </c>
      <c r="Q370" s="3">
        <f t="shared" ca="1" si="121"/>
        <v>26528.853615746608</v>
      </c>
      <c r="R370" s="3">
        <f t="shared" ca="1" si="122"/>
        <v>34982.311692250318</v>
      </c>
      <c r="S370" s="3">
        <f t="shared" ca="1" si="123"/>
        <v>604079.74010256224</v>
      </c>
      <c r="T370" s="3">
        <f t="shared" ca="1" si="124"/>
        <v>195566.87967763076</v>
      </c>
      <c r="U370" s="5">
        <f t="shared" ca="1" si="125"/>
        <v>408512.86042493151</v>
      </c>
    </row>
    <row r="371" spans="1:21" x14ac:dyDescent="0.35">
      <c r="A371">
        <f t="shared" ca="1" si="107"/>
        <v>1</v>
      </c>
      <c r="B371" s="4" t="str">
        <f t="shared" ca="1" si="105"/>
        <v>M</v>
      </c>
      <c r="C371" s="3">
        <f t="shared" ca="1" si="108"/>
        <v>5</v>
      </c>
      <c r="D371" s="3">
        <f t="shared" ca="1" si="106"/>
        <v>25</v>
      </c>
      <c r="E371" s="3" t="str">
        <f t="shared" ca="1" si="109"/>
        <v>Research</v>
      </c>
      <c r="F371" s="3">
        <f t="shared" ca="1" si="110"/>
        <v>2</v>
      </c>
      <c r="G371" s="3" t="str">
        <f t="shared" ca="1" si="111"/>
        <v>Senior Secondary</v>
      </c>
      <c r="H371" s="3">
        <f t="shared" ca="1" si="112"/>
        <v>2</v>
      </c>
      <c r="I371" s="3">
        <f t="shared" ca="1" si="113"/>
        <v>1</v>
      </c>
      <c r="J371" s="3">
        <f t="shared" ca="1" si="114"/>
        <v>28</v>
      </c>
      <c r="K371" s="3" t="str">
        <f t="shared" ca="1" si="115"/>
        <v>West Bengal</v>
      </c>
      <c r="L371" s="3">
        <f t="shared" ca="1" si="116"/>
        <v>70961</v>
      </c>
      <c r="M371" s="3">
        <f t="shared" ca="1" si="117"/>
        <v>425766</v>
      </c>
      <c r="N371" s="3">
        <f t="shared" ca="1" si="118"/>
        <v>223336.50914895479</v>
      </c>
      <c r="O371" s="3">
        <f t="shared" ca="1" si="119"/>
        <v>11371.056405027977</v>
      </c>
      <c r="P371" s="3">
        <f t="shared" ca="1" si="120"/>
        <v>6750.2311315376101</v>
      </c>
      <c r="Q371" s="3">
        <f t="shared" ca="1" si="121"/>
        <v>29128.924122867917</v>
      </c>
      <c r="R371" s="3">
        <f t="shared" ca="1" si="122"/>
        <v>26446.873015431731</v>
      </c>
      <c r="S371" s="3">
        <f t="shared" ca="1" si="123"/>
        <v>463583.92942045972</v>
      </c>
      <c r="T371" s="3">
        <f t="shared" ca="1" si="124"/>
        <v>259215.66440336034</v>
      </c>
      <c r="U371" s="5">
        <f t="shared" ca="1" si="125"/>
        <v>204368.26501709939</v>
      </c>
    </row>
    <row r="372" spans="1:21" x14ac:dyDescent="0.35">
      <c r="A372">
        <f t="shared" ca="1" si="107"/>
        <v>1</v>
      </c>
      <c r="B372" s="4" t="str">
        <f t="shared" ca="1" si="105"/>
        <v>M</v>
      </c>
      <c r="C372" s="3">
        <f t="shared" ca="1" si="108"/>
        <v>3</v>
      </c>
      <c r="D372" s="3">
        <f t="shared" ca="1" si="106"/>
        <v>23</v>
      </c>
      <c r="E372" s="3" t="str">
        <f t="shared" ca="1" si="109"/>
        <v>IT</v>
      </c>
      <c r="F372" s="3">
        <f t="shared" ca="1" si="110"/>
        <v>6</v>
      </c>
      <c r="G372" s="3" t="str">
        <f t="shared" ca="1" si="111"/>
        <v>Doctorate</v>
      </c>
      <c r="H372" s="3">
        <f t="shared" ca="1" si="112"/>
        <v>4</v>
      </c>
      <c r="I372" s="3">
        <f t="shared" ca="1" si="113"/>
        <v>1</v>
      </c>
      <c r="J372" s="3">
        <f t="shared" ca="1" si="114"/>
        <v>20</v>
      </c>
      <c r="K372" s="3" t="str">
        <f t="shared" ca="1" si="115"/>
        <v>Nagaland</v>
      </c>
      <c r="L372" s="3">
        <f t="shared" ca="1" si="116"/>
        <v>31625</v>
      </c>
      <c r="M372" s="3">
        <f t="shared" ca="1" si="117"/>
        <v>221375</v>
      </c>
      <c r="N372" s="3">
        <f t="shared" ca="1" si="118"/>
        <v>148296.30410809413</v>
      </c>
      <c r="O372" s="3">
        <f t="shared" ca="1" si="119"/>
        <v>23486.048557131668</v>
      </c>
      <c r="P372" s="3">
        <f t="shared" ca="1" si="120"/>
        <v>21545.586779495894</v>
      </c>
      <c r="Q372" s="3">
        <f t="shared" ca="1" si="121"/>
        <v>21615.028196754571</v>
      </c>
      <c r="R372" s="3">
        <f t="shared" ca="1" si="122"/>
        <v>17197.191592870866</v>
      </c>
      <c r="S372" s="3">
        <f t="shared" ca="1" si="123"/>
        <v>262058.24015000253</v>
      </c>
      <c r="T372" s="3">
        <f t="shared" ca="1" si="124"/>
        <v>191456.91908434461</v>
      </c>
      <c r="U372" s="5">
        <f t="shared" ca="1" si="125"/>
        <v>70601.321065657918</v>
      </c>
    </row>
    <row r="373" spans="1:21" x14ac:dyDescent="0.35">
      <c r="A373">
        <f t="shared" ca="1" si="107"/>
        <v>2</v>
      </c>
      <c r="B373" s="4" t="str">
        <f t="shared" ca="1" si="105"/>
        <v>F</v>
      </c>
      <c r="C373" s="3">
        <f t="shared" ca="1" si="108"/>
        <v>6</v>
      </c>
      <c r="D373" s="3">
        <f t="shared" ca="1" si="106"/>
        <v>37</v>
      </c>
      <c r="E373" s="3" t="str">
        <f t="shared" ca="1" si="109"/>
        <v>Art</v>
      </c>
      <c r="F373" s="3">
        <f t="shared" ca="1" si="110"/>
        <v>1</v>
      </c>
      <c r="G373" s="3" t="str">
        <f t="shared" ca="1" si="111"/>
        <v>Secondary</v>
      </c>
      <c r="H373" s="3">
        <f t="shared" ca="1" si="112"/>
        <v>0</v>
      </c>
      <c r="I373" s="3">
        <f t="shared" ca="1" si="113"/>
        <v>2</v>
      </c>
      <c r="J373" s="3">
        <f t="shared" ca="1" si="114"/>
        <v>15</v>
      </c>
      <c r="K373" s="3" t="str">
        <f t="shared" ca="1" si="115"/>
        <v>Kerela</v>
      </c>
      <c r="L373" s="3">
        <f t="shared" ca="1" si="116"/>
        <v>81387</v>
      </c>
      <c r="M373" s="3">
        <f t="shared" ca="1" si="117"/>
        <v>406935</v>
      </c>
      <c r="N373" s="3">
        <f t="shared" ca="1" si="118"/>
        <v>166709.14025465643</v>
      </c>
      <c r="O373" s="3">
        <f t="shared" ca="1" si="119"/>
        <v>57436.007270461276</v>
      </c>
      <c r="P373" s="3">
        <f t="shared" ca="1" si="120"/>
        <v>39897.920375183203</v>
      </c>
      <c r="Q373" s="3">
        <f t="shared" ca="1" si="121"/>
        <v>74056.922994573019</v>
      </c>
      <c r="R373" s="3">
        <f t="shared" ca="1" si="122"/>
        <v>49555.317169130954</v>
      </c>
      <c r="S373" s="3">
        <f t="shared" ca="1" si="123"/>
        <v>513926.32443959225</v>
      </c>
      <c r="T373" s="3">
        <f t="shared" ca="1" si="124"/>
        <v>280663.98362441268</v>
      </c>
      <c r="U373" s="5">
        <f t="shared" ca="1" si="125"/>
        <v>233262.34081517957</v>
      </c>
    </row>
    <row r="374" spans="1:21" x14ac:dyDescent="0.35">
      <c r="A374">
        <f t="shared" ca="1" si="107"/>
        <v>2</v>
      </c>
      <c r="B374" s="4" t="str">
        <f t="shared" ca="1" si="105"/>
        <v>F</v>
      </c>
      <c r="C374" s="3">
        <f t="shared" ca="1" si="108"/>
        <v>4</v>
      </c>
      <c r="D374" s="3">
        <f t="shared" ca="1" si="106"/>
        <v>44</v>
      </c>
      <c r="E374" s="3" t="str">
        <f t="shared" ca="1" si="109"/>
        <v>Accounting</v>
      </c>
      <c r="F374" s="3">
        <f t="shared" ca="1" si="110"/>
        <v>1</v>
      </c>
      <c r="G374" s="3" t="str">
        <f t="shared" ca="1" si="111"/>
        <v>Secondary</v>
      </c>
      <c r="H374" s="3">
        <f t="shared" ca="1" si="112"/>
        <v>4</v>
      </c>
      <c r="I374" s="3">
        <f t="shared" ca="1" si="113"/>
        <v>0</v>
      </c>
      <c r="J374" s="3">
        <f t="shared" ca="1" si="114"/>
        <v>3</v>
      </c>
      <c r="K374" s="3" t="str">
        <f t="shared" ca="1" si="115"/>
        <v>Punjab</v>
      </c>
      <c r="L374" s="3">
        <f t="shared" ca="1" si="116"/>
        <v>68473</v>
      </c>
      <c r="M374" s="3">
        <f t="shared" ca="1" si="117"/>
        <v>410838</v>
      </c>
      <c r="N374" s="3">
        <f t="shared" ca="1" si="118"/>
        <v>284866.73879348434</v>
      </c>
      <c r="O374" s="3">
        <f t="shared" ca="1" si="119"/>
        <v>0</v>
      </c>
      <c r="P374" s="3">
        <f t="shared" ca="1" si="120"/>
        <v>0</v>
      </c>
      <c r="Q374" s="3">
        <f t="shared" ca="1" si="121"/>
        <v>59087.757464183094</v>
      </c>
      <c r="R374" s="3">
        <f t="shared" ca="1" si="122"/>
        <v>4620.2329998112818</v>
      </c>
      <c r="S374" s="3">
        <f t="shared" ca="1" si="123"/>
        <v>415458.2329998113</v>
      </c>
      <c r="T374" s="3">
        <f t="shared" ca="1" si="124"/>
        <v>343954.49625766743</v>
      </c>
      <c r="U374" s="5">
        <f t="shared" ca="1" si="125"/>
        <v>71503.736742143868</v>
      </c>
    </row>
    <row r="375" spans="1:21" x14ac:dyDescent="0.35">
      <c r="A375">
        <f t="shared" ca="1" si="107"/>
        <v>1</v>
      </c>
      <c r="B375" s="4" t="str">
        <f t="shared" ca="1" si="105"/>
        <v>M</v>
      </c>
      <c r="C375" s="3">
        <f t="shared" ca="1" si="108"/>
        <v>4</v>
      </c>
      <c r="D375" s="3">
        <f t="shared" ca="1" si="106"/>
        <v>27</v>
      </c>
      <c r="E375" s="3" t="str">
        <f t="shared" ca="1" si="109"/>
        <v>Accounting</v>
      </c>
      <c r="F375" s="3">
        <f t="shared" ca="1" si="110"/>
        <v>1</v>
      </c>
      <c r="G375" s="3" t="str">
        <f t="shared" ca="1" si="111"/>
        <v>Secondary</v>
      </c>
      <c r="H375" s="3">
        <f t="shared" ca="1" si="112"/>
        <v>2</v>
      </c>
      <c r="I375" s="3">
        <f t="shared" ca="1" si="113"/>
        <v>3</v>
      </c>
      <c r="J375" s="3">
        <f t="shared" ca="1" si="114"/>
        <v>9</v>
      </c>
      <c r="K375" s="3" t="str">
        <f t="shared" ca="1" si="115"/>
        <v>Chhattisgarh</v>
      </c>
      <c r="L375" s="3">
        <f t="shared" ca="1" si="116"/>
        <v>97221</v>
      </c>
      <c r="M375" s="3">
        <f t="shared" ca="1" si="117"/>
        <v>777768</v>
      </c>
      <c r="N375" s="3">
        <f t="shared" ca="1" si="118"/>
        <v>200940.7874654808</v>
      </c>
      <c r="O375" s="3">
        <f t="shared" ca="1" si="119"/>
        <v>15477.806517904008</v>
      </c>
      <c r="P375" s="3">
        <f t="shared" ca="1" si="120"/>
        <v>1593.5694536774142</v>
      </c>
      <c r="Q375" s="3">
        <f t="shared" ca="1" si="121"/>
        <v>77199.049411966378</v>
      </c>
      <c r="R375" s="3">
        <f t="shared" ca="1" si="122"/>
        <v>36738.320436807961</v>
      </c>
      <c r="S375" s="3">
        <f t="shared" ca="1" si="123"/>
        <v>829984.12695471197</v>
      </c>
      <c r="T375" s="3">
        <f t="shared" ca="1" si="124"/>
        <v>279733.4063311246</v>
      </c>
      <c r="U375" s="5">
        <f t="shared" ca="1" si="125"/>
        <v>550250.72062358737</v>
      </c>
    </row>
    <row r="376" spans="1:21" x14ac:dyDescent="0.35">
      <c r="A376">
        <f t="shared" ca="1" si="107"/>
        <v>1</v>
      </c>
      <c r="B376" s="4" t="str">
        <f t="shared" ca="1" si="105"/>
        <v>M</v>
      </c>
      <c r="C376" s="3">
        <f t="shared" ca="1" si="108"/>
        <v>2</v>
      </c>
      <c r="D376" s="3">
        <f t="shared" ca="1" si="106"/>
        <v>42</v>
      </c>
      <c r="E376" s="3" t="str">
        <f t="shared" ca="1" si="109"/>
        <v>Healthcare</v>
      </c>
      <c r="F376" s="3">
        <f t="shared" ca="1" si="110"/>
        <v>2</v>
      </c>
      <c r="G376" s="3" t="str">
        <f t="shared" ca="1" si="111"/>
        <v>Senior Secondary</v>
      </c>
      <c r="H376" s="3">
        <f t="shared" ca="1" si="112"/>
        <v>4</v>
      </c>
      <c r="I376" s="3">
        <f t="shared" ca="1" si="113"/>
        <v>1</v>
      </c>
      <c r="J376" s="3">
        <f t="shared" ca="1" si="114"/>
        <v>7</v>
      </c>
      <c r="K376" s="3" t="str">
        <f t="shared" ca="1" si="115"/>
        <v>Assam</v>
      </c>
      <c r="L376" s="3">
        <f t="shared" ca="1" si="116"/>
        <v>29238</v>
      </c>
      <c r="M376" s="3">
        <f t="shared" ca="1" si="117"/>
        <v>204666</v>
      </c>
      <c r="N376" s="3">
        <f t="shared" ca="1" si="118"/>
        <v>173839.95747090268</v>
      </c>
      <c r="O376" s="3">
        <f t="shared" ca="1" si="119"/>
        <v>22807.975769624918</v>
      </c>
      <c r="P376" s="3">
        <f t="shared" ca="1" si="120"/>
        <v>19476.680945651646</v>
      </c>
      <c r="Q376" s="3">
        <f t="shared" ca="1" si="121"/>
        <v>10322.158092023457</v>
      </c>
      <c r="R376" s="3">
        <f t="shared" ca="1" si="122"/>
        <v>19598.133269609163</v>
      </c>
      <c r="S376" s="3">
        <f t="shared" ca="1" si="123"/>
        <v>247072.10903923408</v>
      </c>
      <c r="T376" s="3">
        <f t="shared" ca="1" si="124"/>
        <v>203638.79650857777</v>
      </c>
      <c r="U376" s="5">
        <f t="shared" ca="1" si="125"/>
        <v>43433.312530656316</v>
      </c>
    </row>
    <row r="377" spans="1:21" x14ac:dyDescent="0.35">
      <c r="A377">
        <f t="shared" ca="1" si="107"/>
        <v>1</v>
      </c>
      <c r="B377" s="4" t="str">
        <f t="shared" ca="1" si="105"/>
        <v>M</v>
      </c>
      <c r="C377" s="3">
        <f t="shared" ca="1" si="108"/>
        <v>2</v>
      </c>
      <c r="D377" s="3">
        <f t="shared" ca="1" si="106"/>
        <v>24</v>
      </c>
      <c r="E377" s="3" t="str">
        <f t="shared" ca="1" si="109"/>
        <v>Healthcare</v>
      </c>
      <c r="F377" s="3">
        <f t="shared" ca="1" si="110"/>
        <v>1</v>
      </c>
      <c r="G377" s="3" t="str">
        <f t="shared" ca="1" si="111"/>
        <v>Secondary</v>
      </c>
      <c r="H377" s="3">
        <f t="shared" ca="1" si="112"/>
        <v>0</v>
      </c>
      <c r="I377" s="3">
        <f t="shared" ca="1" si="113"/>
        <v>0</v>
      </c>
      <c r="J377" s="3">
        <f t="shared" ca="1" si="114"/>
        <v>1</v>
      </c>
      <c r="K377" s="3" t="str">
        <f t="shared" ca="1" si="115"/>
        <v>Haryana</v>
      </c>
      <c r="L377" s="3">
        <f t="shared" ca="1" si="116"/>
        <v>38507</v>
      </c>
      <c r="M377" s="3">
        <f t="shared" ca="1" si="117"/>
        <v>308056</v>
      </c>
      <c r="N377" s="3">
        <f t="shared" ca="1" si="118"/>
        <v>171552.39475054975</v>
      </c>
      <c r="O377" s="3">
        <f t="shared" ca="1" si="119"/>
        <v>0</v>
      </c>
      <c r="P377" s="3">
        <f t="shared" ca="1" si="120"/>
        <v>0</v>
      </c>
      <c r="Q377" s="3">
        <f t="shared" ca="1" si="121"/>
        <v>35659.111678579917</v>
      </c>
      <c r="R377" s="3">
        <f t="shared" ca="1" si="122"/>
        <v>9597.3284917022502</v>
      </c>
      <c r="S377" s="3">
        <f t="shared" ca="1" si="123"/>
        <v>317653.32849170227</v>
      </c>
      <c r="T377" s="3">
        <f t="shared" ca="1" si="124"/>
        <v>207211.50642912966</v>
      </c>
      <c r="U377" s="5">
        <f t="shared" ca="1" si="125"/>
        <v>110441.82206257261</v>
      </c>
    </row>
    <row r="378" spans="1:21" x14ac:dyDescent="0.35">
      <c r="A378">
        <f t="shared" ca="1" si="107"/>
        <v>2</v>
      </c>
      <c r="B378" s="4" t="str">
        <f t="shared" ca="1" si="105"/>
        <v>F</v>
      </c>
      <c r="C378" s="3">
        <f t="shared" ca="1" si="108"/>
        <v>3</v>
      </c>
      <c r="D378" s="3">
        <f t="shared" ca="1" si="106"/>
        <v>43</v>
      </c>
      <c r="E378" s="3" t="str">
        <f t="shared" ca="1" si="109"/>
        <v>IT</v>
      </c>
      <c r="F378" s="3">
        <f t="shared" ca="1" si="110"/>
        <v>7</v>
      </c>
      <c r="G378" s="3" t="str">
        <f t="shared" ca="1" si="111"/>
        <v>Other</v>
      </c>
      <c r="H378" s="3">
        <f t="shared" ca="1" si="112"/>
        <v>4</v>
      </c>
      <c r="I378" s="3">
        <f t="shared" ca="1" si="113"/>
        <v>2</v>
      </c>
      <c r="J378" s="3">
        <f t="shared" ca="1" si="114"/>
        <v>13</v>
      </c>
      <c r="K378" s="3" t="str">
        <f t="shared" ca="1" si="115"/>
        <v>Jharkhand</v>
      </c>
      <c r="L378" s="3">
        <f t="shared" ca="1" si="116"/>
        <v>75808</v>
      </c>
      <c r="M378" s="3">
        <f t="shared" ca="1" si="117"/>
        <v>454848</v>
      </c>
      <c r="N378" s="3">
        <f t="shared" ca="1" si="118"/>
        <v>51318.597599664987</v>
      </c>
      <c r="O378" s="3">
        <f t="shared" ca="1" si="119"/>
        <v>103408.84141485675</v>
      </c>
      <c r="P378" s="3">
        <f t="shared" ca="1" si="120"/>
        <v>99529.882181342633</v>
      </c>
      <c r="Q378" s="3">
        <f t="shared" ca="1" si="121"/>
        <v>71473.086493734911</v>
      </c>
      <c r="R378" s="3">
        <f t="shared" ca="1" si="122"/>
        <v>39523.392988079286</v>
      </c>
      <c r="S378" s="3">
        <f t="shared" ca="1" si="123"/>
        <v>597780.23440293595</v>
      </c>
      <c r="T378" s="3">
        <f t="shared" ca="1" si="124"/>
        <v>222321.56627474254</v>
      </c>
      <c r="U378" s="5">
        <f t="shared" ca="1" si="125"/>
        <v>375458.66812819341</v>
      </c>
    </row>
    <row r="379" spans="1:21" x14ac:dyDescent="0.35">
      <c r="A379">
        <f t="shared" ca="1" si="107"/>
        <v>1</v>
      </c>
      <c r="B379" s="4" t="str">
        <f t="shared" ca="1" si="105"/>
        <v>M</v>
      </c>
      <c r="C379" s="3">
        <f t="shared" ca="1" si="108"/>
        <v>7</v>
      </c>
      <c r="D379" s="3">
        <f t="shared" ca="1" si="106"/>
        <v>38</v>
      </c>
      <c r="E379" s="3" t="str">
        <f t="shared" ca="1" si="109"/>
        <v>Other</v>
      </c>
      <c r="F379" s="3">
        <f t="shared" ca="1" si="110"/>
        <v>4</v>
      </c>
      <c r="G379" s="3" t="str">
        <f t="shared" ca="1" si="111"/>
        <v>PG</v>
      </c>
      <c r="H379" s="3">
        <f t="shared" ca="1" si="112"/>
        <v>3</v>
      </c>
      <c r="I379" s="3">
        <f t="shared" ca="1" si="113"/>
        <v>0</v>
      </c>
      <c r="J379" s="3">
        <f t="shared" ca="1" si="114"/>
        <v>14</v>
      </c>
      <c r="K379" s="3" t="str">
        <f t="shared" ca="1" si="115"/>
        <v>Karnataka</v>
      </c>
      <c r="L379" s="3">
        <f t="shared" ca="1" si="116"/>
        <v>87343</v>
      </c>
      <c r="M379" s="3">
        <f t="shared" ca="1" si="117"/>
        <v>524058</v>
      </c>
      <c r="N379" s="3">
        <f t="shared" ca="1" si="118"/>
        <v>334600.7419765704</v>
      </c>
      <c r="O379" s="3">
        <f t="shared" ca="1" si="119"/>
        <v>0</v>
      </c>
      <c r="P379" s="3">
        <f t="shared" ca="1" si="120"/>
        <v>0</v>
      </c>
      <c r="Q379" s="3">
        <f t="shared" ca="1" si="121"/>
        <v>40662.823462417153</v>
      </c>
      <c r="R379" s="3">
        <f t="shared" ca="1" si="122"/>
        <v>6349.9965107268208</v>
      </c>
      <c r="S379" s="3">
        <f t="shared" ca="1" si="123"/>
        <v>530407.99651072687</v>
      </c>
      <c r="T379" s="3">
        <f t="shared" ca="1" si="124"/>
        <v>375263.56543898757</v>
      </c>
      <c r="U379" s="5">
        <f t="shared" ca="1" si="125"/>
        <v>155144.43107173929</v>
      </c>
    </row>
    <row r="380" spans="1:21" x14ac:dyDescent="0.35">
      <c r="A380">
        <f t="shared" ca="1" si="107"/>
        <v>1</v>
      </c>
      <c r="B380" s="4" t="str">
        <f t="shared" ca="1" si="105"/>
        <v>M</v>
      </c>
      <c r="C380" s="3">
        <f t="shared" ca="1" si="108"/>
        <v>3</v>
      </c>
      <c r="D380" s="3">
        <f t="shared" ca="1" si="106"/>
        <v>40</v>
      </c>
      <c r="E380" s="3" t="str">
        <f t="shared" ca="1" si="109"/>
        <v>IT</v>
      </c>
      <c r="F380" s="3">
        <f t="shared" ca="1" si="110"/>
        <v>5</v>
      </c>
      <c r="G380" s="3" t="str">
        <f t="shared" ca="1" si="111"/>
        <v>Diploma</v>
      </c>
      <c r="H380" s="3">
        <f t="shared" ca="1" si="112"/>
        <v>0</v>
      </c>
      <c r="I380" s="3">
        <f t="shared" ca="1" si="113"/>
        <v>2</v>
      </c>
      <c r="J380" s="3">
        <f t="shared" ca="1" si="114"/>
        <v>12</v>
      </c>
      <c r="K380" s="3" t="str">
        <f t="shared" ca="1" si="115"/>
        <v>Himachal Pradesh</v>
      </c>
      <c r="L380" s="3">
        <f t="shared" ca="1" si="116"/>
        <v>72437</v>
      </c>
      <c r="M380" s="3">
        <f t="shared" ca="1" si="117"/>
        <v>651933</v>
      </c>
      <c r="N380" s="3">
        <f t="shared" ca="1" si="118"/>
        <v>266093.24581146322</v>
      </c>
      <c r="O380" s="3">
        <f t="shared" ca="1" si="119"/>
        <v>15885.350058917789</v>
      </c>
      <c r="P380" s="3">
        <f t="shared" ca="1" si="120"/>
        <v>9996.0868169630157</v>
      </c>
      <c r="Q380" s="3">
        <f t="shared" ca="1" si="121"/>
        <v>42124.70956231805</v>
      </c>
      <c r="R380" s="3">
        <f t="shared" ca="1" si="122"/>
        <v>322.29876731167394</v>
      </c>
      <c r="S380" s="3">
        <f t="shared" ca="1" si="123"/>
        <v>668140.6488262295</v>
      </c>
      <c r="T380" s="3">
        <f t="shared" ca="1" si="124"/>
        <v>318214.04219074431</v>
      </c>
      <c r="U380" s="5">
        <f t="shared" ca="1" si="125"/>
        <v>349926.60663548519</v>
      </c>
    </row>
    <row r="381" spans="1:21" x14ac:dyDescent="0.35">
      <c r="A381">
        <f t="shared" ca="1" si="107"/>
        <v>2</v>
      </c>
      <c r="B381" s="4" t="str">
        <f t="shared" ca="1" si="105"/>
        <v>F</v>
      </c>
      <c r="C381" s="3">
        <f t="shared" ca="1" si="108"/>
        <v>2</v>
      </c>
      <c r="D381" s="3">
        <f t="shared" ca="1" si="106"/>
        <v>27</v>
      </c>
      <c r="E381" s="3" t="str">
        <f t="shared" ca="1" si="109"/>
        <v>Healthcare</v>
      </c>
      <c r="F381" s="3">
        <f t="shared" ca="1" si="110"/>
        <v>7</v>
      </c>
      <c r="G381" s="3" t="str">
        <f t="shared" ca="1" si="111"/>
        <v>Other</v>
      </c>
      <c r="H381" s="3">
        <f t="shared" ca="1" si="112"/>
        <v>1</v>
      </c>
      <c r="I381" s="3">
        <f t="shared" ca="1" si="113"/>
        <v>1</v>
      </c>
      <c r="J381" s="3">
        <f t="shared" ca="1" si="114"/>
        <v>28</v>
      </c>
      <c r="K381" s="3" t="str">
        <f t="shared" ca="1" si="115"/>
        <v>West Bengal</v>
      </c>
      <c r="L381" s="3">
        <f t="shared" ca="1" si="116"/>
        <v>61299</v>
      </c>
      <c r="M381" s="3">
        <f t="shared" ca="1" si="117"/>
        <v>490392</v>
      </c>
      <c r="N381" s="3">
        <f t="shared" ca="1" si="118"/>
        <v>274831.16607232543</v>
      </c>
      <c r="O381" s="3">
        <f t="shared" ca="1" si="119"/>
        <v>11691.903629999933</v>
      </c>
      <c r="P381" s="3">
        <f t="shared" ca="1" si="120"/>
        <v>6366.1336914849044</v>
      </c>
      <c r="Q381" s="3">
        <f t="shared" ca="1" si="121"/>
        <v>4869.8342728902762</v>
      </c>
      <c r="R381" s="3">
        <f t="shared" ca="1" si="122"/>
        <v>136.9849430196206</v>
      </c>
      <c r="S381" s="3">
        <f t="shared" ca="1" si="123"/>
        <v>502220.88857301959</v>
      </c>
      <c r="T381" s="3">
        <f t="shared" ca="1" si="124"/>
        <v>286067.13403670065</v>
      </c>
      <c r="U381" s="5">
        <f t="shared" ca="1" si="125"/>
        <v>216153.75453631894</v>
      </c>
    </row>
    <row r="382" spans="1:21" x14ac:dyDescent="0.35">
      <c r="A382">
        <f t="shared" ca="1" si="107"/>
        <v>2</v>
      </c>
      <c r="B382" s="4" t="str">
        <f t="shared" ca="1" si="105"/>
        <v>F</v>
      </c>
      <c r="C382" s="3">
        <f t="shared" ca="1" si="108"/>
        <v>6</v>
      </c>
      <c r="D382" s="3">
        <f t="shared" ca="1" si="106"/>
        <v>40</v>
      </c>
      <c r="E382" s="3" t="str">
        <f t="shared" ca="1" si="109"/>
        <v>Art</v>
      </c>
      <c r="F382" s="3">
        <f t="shared" ca="1" si="110"/>
        <v>5</v>
      </c>
      <c r="G382" s="3" t="str">
        <f t="shared" ca="1" si="111"/>
        <v>Diploma</v>
      </c>
      <c r="H382" s="3">
        <f t="shared" ca="1" si="112"/>
        <v>0</v>
      </c>
      <c r="I382" s="3">
        <f t="shared" ca="1" si="113"/>
        <v>0</v>
      </c>
      <c r="J382" s="3">
        <f t="shared" ca="1" si="114"/>
        <v>16</v>
      </c>
      <c r="K382" s="3" t="str">
        <f t="shared" ca="1" si="115"/>
        <v>Madhya Pradesh</v>
      </c>
      <c r="L382" s="3">
        <f t="shared" ca="1" si="116"/>
        <v>39143</v>
      </c>
      <c r="M382" s="3">
        <f t="shared" ca="1" si="117"/>
        <v>313144</v>
      </c>
      <c r="N382" s="3">
        <f t="shared" ca="1" si="118"/>
        <v>189189.67501041095</v>
      </c>
      <c r="O382" s="3">
        <f t="shared" ca="1" si="119"/>
        <v>0</v>
      </c>
      <c r="P382" s="3">
        <f t="shared" ca="1" si="120"/>
        <v>0</v>
      </c>
      <c r="Q382" s="3">
        <f t="shared" ca="1" si="121"/>
        <v>5085.8794530274818</v>
      </c>
      <c r="R382" s="3">
        <f t="shared" ca="1" si="122"/>
        <v>4233.0960944670214</v>
      </c>
      <c r="S382" s="3">
        <f t="shared" ca="1" si="123"/>
        <v>317377.09609446704</v>
      </c>
      <c r="T382" s="3">
        <f t="shared" ca="1" si="124"/>
        <v>194275.55446343843</v>
      </c>
      <c r="U382" s="5">
        <f t="shared" ca="1" si="125"/>
        <v>123101.54163102861</v>
      </c>
    </row>
    <row r="383" spans="1:21" x14ac:dyDescent="0.35">
      <c r="A383">
        <f t="shared" ca="1" si="107"/>
        <v>2</v>
      </c>
      <c r="B383" s="4" t="str">
        <f t="shared" ca="1" si="105"/>
        <v>F</v>
      </c>
      <c r="C383" s="3">
        <f t="shared" ca="1" si="108"/>
        <v>7</v>
      </c>
      <c r="D383" s="3">
        <f t="shared" ca="1" si="106"/>
        <v>34</v>
      </c>
      <c r="E383" s="3" t="str">
        <f t="shared" ca="1" si="109"/>
        <v>Other</v>
      </c>
      <c r="F383" s="3">
        <f t="shared" ca="1" si="110"/>
        <v>5</v>
      </c>
      <c r="G383" s="3" t="str">
        <f t="shared" ca="1" si="111"/>
        <v>Diploma</v>
      </c>
      <c r="H383" s="3">
        <f t="shared" ca="1" si="112"/>
        <v>2</v>
      </c>
      <c r="I383" s="3">
        <f t="shared" ca="1" si="113"/>
        <v>1</v>
      </c>
      <c r="J383" s="3">
        <f t="shared" ca="1" si="114"/>
        <v>11</v>
      </c>
      <c r="K383" s="3" t="str">
        <f t="shared" ca="1" si="115"/>
        <v>Goa</v>
      </c>
      <c r="L383" s="3">
        <f t="shared" ca="1" si="116"/>
        <v>91369</v>
      </c>
      <c r="M383" s="3">
        <f t="shared" ca="1" si="117"/>
        <v>639583</v>
      </c>
      <c r="N383" s="3">
        <f t="shared" ca="1" si="118"/>
        <v>143698.13396208419</v>
      </c>
      <c r="O383" s="3">
        <f t="shared" ca="1" si="119"/>
        <v>2523.3271110804603</v>
      </c>
      <c r="P383" s="3">
        <f t="shared" ca="1" si="120"/>
        <v>1143.6943113467796</v>
      </c>
      <c r="Q383" s="3">
        <f t="shared" ca="1" si="121"/>
        <v>27752.343672760537</v>
      </c>
      <c r="R383" s="3">
        <f t="shared" ca="1" si="122"/>
        <v>84370.394208058482</v>
      </c>
      <c r="S383" s="3">
        <f t="shared" ca="1" si="123"/>
        <v>726476.72131913889</v>
      </c>
      <c r="T383" s="3">
        <f t="shared" ca="1" si="124"/>
        <v>172594.17194619149</v>
      </c>
      <c r="U383" s="5">
        <f t="shared" ca="1" si="125"/>
        <v>553882.54937294743</v>
      </c>
    </row>
    <row r="384" spans="1:21" x14ac:dyDescent="0.35">
      <c r="A384">
        <f t="shared" ca="1" si="107"/>
        <v>1</v>
      </c>
      <c r="B384" s="4" t="str">
        <f t="shared" ca="1" si="105"/>
        <v>M</v>
      </c>
      <c r="C384" s="3">
        <f t="shared" ca="1" si="108"/>
        <v>2</v>
      </c>
      <c r="D384" s="3">
        <f t="shared" ca="1" si="106"/>
        <v>18</v>
      </c>
      <c r="E384" s="3" t="str">
        <f t="shared" ca="1" si="109"/>
        <v>Healthcare</v>
      </c>
      <c r="F384" s="3">
        <f t="shared" ca="1" si="110"/>
        <v>6</v>
      </c>
      <c r="G384" s="3" t="str">
        <f t="shared" ca="1" si="111"/>
        <v>Doctorate</v>
      </c>
      <c r="H384" s="3">
        <f t="shared" ca="1" si="112"/>
        <v>0</v>
      </c>
      <c r="I384" s="3">
        <f t="shared" ca="1" si="113"/>
        <v>0</v>
      </c>
      <c r="J384" s="3">
        <f t="shared" ca="1" si="114"/>
        <v>21</v>
      </c>
      <c r="K384" s="3" t="str">
        <f t="shared" ca="1" si="115"/>
        <v>Odisha</v>
      </c>
      <c r="L384" s="3">
        <f t="shared" ca="1" si="116"/>
        <v>25690</v>
      </c>
      <c r="M384" s="3">
        <f t="shared" ca="1" si="117"/>
        <v>154140</v>
      </c>
      <c r="N384" s="3">
        <f t="shared" ca="1" si="118"/>
        <v>32377.81949705847</v>
      </c>
      <c r="O384" s="3">
        <f t="shared" ca="1" si="119"/>
        <v>0</v>
      </c>
      <c r="P384" s="3">
        <f t="shared" ca="1" si="120"/>
        <v>0</v>
      </c>
      <c r="Q384" s="3">
        <f t="shared" ca="1" si="121"/>
        <v>11866.39871280338</v>
      </c>
      <c r="R384" s="3">
        <f t="shared" ca="1" si="122"/>
        <v>15822.378165174498</v>
      </c>
      <c r="S384" s="3">
        <f t="shared" ca="1" si="123"/>
        <v>169962.37816517451</v>
      </c>
      <c r="T384" s="3">
        <f t="shared" ca="1" si="124"/>
        <v>44244.21820986185</v>
      </c>
      <c r="U384" s="5">
        <f t="shared" ca="1" si="125"/>
        <v>125718.15995531266</v>
      </c>
    </row>
    <row r="385" spans="1:21" x14ac:dyDescent="0.35">
      <c r="A385">
        <f t="shared" ca="1" si="107"/>
        <v>1</v>
      </c>
      <c r="B385" s="4" t="str">
        <f t="shared" ca="1" si="105"/>
        <v>M</v>
      </c>
      <c r="C385" s="3">
        <f t="shared" ca="1" si="108"/>
        <v>4</v>
      </c>
      <c r="D385" s="3">
        <f t="shared" ca="1" si="106"/>
        <v>38</v>
      </c>
      <c r="E385" s="3" t="str">
        <f t="shared" ca="1" si="109"/>
        <v>Accounting</v>
      </c>
      <c r="F385" s="3">
        <f t="shared" ca="1" si="110"/>
        <v>4</v>
      </c>
      <c r="G385" s="3" t="str">
        <f t="shared" ca="1" si="111"/>
        <v>PG</v>
      </c>
      <c r="H385" s="3">
        <f t="shared" ca="1" si="112"/>
        <v>4</v>
      </c>
      <c r="I385" s="3">
        <f t="shared" ca="1" si="113"/>
        <v>2</v>
      </c>
      <c r="J385" s="3">
        <f t="shared" ca="1" si="114"/>
        <v>5</v>
      </c>
      <c r="K385" s="3" t="str">
        <f t="shared" ca="1" si="115"/>
        <v>Andhra Pradesh</v>
      </c>
      <c r="L385" s="3">
        <f t="shared" ca="1" si="116"/>
        <v>79017</v>
      </c>
      <c r="M385" s="3">
        <f t="shared" ca="1" si="117"/>
        <v>474102</v>
      </c>
      <c r="N385" s="3">
        <f t="shared" ca="1" si="118"/>
        <v>410273.17204126745</v>
      </c>
      <c r="O385" s="3">
        <f t="shared" ca="1" si="119"/>
        <v>89972.731804732059</v>
      </c>
      <c r="P385" s="3">
        <f t="shared" ca="1" si="120"/>
        <v>40732.115048969965</v>
      </c>
      <c r="Q385" s="3">
        <f t="shared" ca="1" si="121"/>
        <v>65053.838774503682</v>
      </c>
      <c r="R385" s="3">
        <f t="shared" ca="1" si="122"/>
        <v>22873.356052209489</v>
      </c>
      <c r="S385" s="3">
        <f t="shared" ca="1" si="123"/>
        <v>586948.08785694151</v>
      </c>
      <c r="T385" s="3">
        <f t="shared" ca="1" si="124"/>
        <v>516059.1258647411</v>
      </c>
      <c r="U385" s="5">
        <f t="shared" ca="1" si="125"/>
        <v>70888.961992200406</v>
      </c>
    </row>
    <row r="386" spans="1:21" x14ac:dyDescent="0.35">
      <c r="A386">
        <f t="shared" ca="1" si="107"/>
        <v>1</v>
      </c>
      <c r="B386" s="4" t="str">
        <f t="shared" ca="1" si="105"/>
        <v>M</v>
      </c>
      <c r="C386" s="3">
        <f t="shared" ca="1" si="108"/>
        <v>2</v>
      </c>
      <c r="D386" s="3">
        <f t="shared" ca="1" si="106"/>
        <v>42</v>
      </c>
      <c r="E386" s="3" t="str">
        <f t="shared" ca="1" si="109"/>
        <v>Healthcare</v>
      </c>
      <c r="F386" s="3">
        <f t="shared" ca="1" si="110"/>
        <v>4</v>
      </c>
      <c r="G386" s="3" t="str">
        <f t="shared" ca="1" si="111"/>
        <v>PG</v>
      </c>
      <c r="H386" s="3">
        <f t="shared" ca="1" si="112"/>
        <v>3</v>
      </c>
      <c r="I386" s="3">
        <f t="shared" ca="1" si="113"/>
        <v>3</v>
      </c>
      <c r="J386" s="3">
        <f t="shared" ca="1" si="114"/>
        <v>28</v>
      </c>
      <c r="K386" s="3" t="str">
        <f t="shared" ca="1" si="115"/>
        <v>West Bengal</v>
      </c>
      <c r="L386" s="3">
        <f t="shared" ca="1" si="116"/>
        <v>56311</v>
      </c>
      <c r="M386" s="3">
        <f t="shared" ca="1" si="117"/>
        <v>506799</v>
      </c>
      <c r="N386" s="3">
        <f t="shared" ca="1" si="118"/>
        <v>30703.731374384537</v>
      </c>
      <c r="O386" s="3">
        <f t="shared" ca="1" si="119"/>
        <v>109241.52261193343</v>
      </c>
      <c r="P386" s="3">
        <f t="shared" ca="1" si="120"/>
        <v>97296.555747503691</v>
      </c>
      <c r="Q386" s="3">
        <f t="shared" ca="1" si="121"/>
        <v>8513.731374399229</v>
      </c>
      <c r="R386" s="3">
        <f t="shared" ca="1" si="122"/>
        <v>48146.409974039649</v>
      </c>
      <c r="S386" s="3">
        <f t="shared" ca="1" si="123"/>
        <v>664186.93258597306</v>
      </c>
      <c r="T386" s="3">
        <f t="shared" ca="1" si="124"/>
        <v>136514.01849628746</v>
      </c>
      <c r="U386" s="5">
        <f t="shared" ca="1" si="125"/>
        <v>527672.91408968554</v>
      </c>
    </row>
    <row r="387" spans="1:21" x14ac:dyDescent="0.35">
      <c r="A387">
        <f t="shared" ca="1" si="107"/>
        <v>2</v>
      </c>
      <c r="B387" s="4" t="str">
        <f t="shared" ca="1" si="105"/>
        <v>F</v>
      </c>
      <c r="C387" s="3">
        <f t="shared" ca="1" si="108"/>
        <v>7</v>
      </c>
      <c r="D387" s="3">
        <f t="shared" ca="1" si="106"/>
        <v>37</v>
      </c>
      <c r="E387" s="3" t="str">
        <f t="shared" ca="1" si="109"/>
        <v>Other</v>
      </c>
      <c r="F387" s="3">
        <f t="shared" ca="1" si="110"/>
        <v>3</v>
      </c>
      <c r="G387" s="3" t="str">
        <f t="shared" ca="1" si="111"/>
        <v>UG</v>
      </c>
      <c r="H387" s="3">
        <f t="shared" ca="1" si="112"/>
        <v>3</v>
      </c>
      <c r="I387" s="3">
        <f t="shared" ca="1" si="113"/>
        <v>2</v>
      </c>
      <c r="J387" s="3">
        <f t="shared" ca="1" si="114"/>
        <v>17</v>
      </c>
      <c r="K387" s="3" t="str">
        <f t="shared" ca="1" si="115"/>
        <v xml:space="preserve">Manipur </v>
      </c>
      <c r="L387" s="3">
        <f t="shared" ca="1" si="116"/>
        <v>49991</v>
      </c>
      <c r="M387" s="3">
        <f t="shared" ca="1" si="117"/>
        <v>399928</v>
      </c>
      <c r="N387" s="3">
        <f t="shared" ca="1" si="118"/>
        <v>3505.106227596666</v>
      </c>
      <c r="O387" s="3">
        <f t="shared" ca="1" si="119"/>
        <v>20635.019141797144</v>
      </c>
      <c r="P387" s="3">
        <f t="shared" ca="1" si="120"/>
        <v>8020.8118063145557</v>
      </c>
      <c r="Q387" s="3">
        <f t="shared" ca="1" si="121"/>
        <v>27653.615224176585</v>
      </c>
      <c r="R387" s="3">
        <f t="shared" ca="1" si="122"/>
        <v>40938.703955680219</v>
      </c>
      <c r="S387" s="3">
        <f t="shared" ca="1" si="123"/>
        <v>461501.72309747734</v>
      </c>
      <c r="T387" s="3">
        <f t="shared" ca="1" si="124"/>
        <v>39179.533258087802</v>
      </c>
      <c r="U387" s="5">
        <f t="shared" ca="1" si="125"/>
        <v>422322.18983938952</v>
      </c>
    </row>
    <row r="388" spans="1:21" x14ac:dyDescent="0.35">
      <c r="A388">
        <f t="shared" ca="1" si="107"/>
        <v>1</v>
      </c>
      <c r="B388" s="4" t="str">
        <f t="shared" ca="1" si="105"/>
        <v>M</v>
      </c>
      <c r="C388" s="3">
        <f t="shared" ca="1" si="108"/>
        <v>2</v>
      </c>
      <c r="D388" s="3">
        <f t="shared" ca="1" si="106"/>
        <v>22</v>
      </c>
      <c r="E388" s="3" t="str">
        <f t="shared" ca="1" si="109"/>
        <v>Healthcare</v>
      </c>
      <c r="F388" s="3">
        <f t="shared" ca="1" si="110"/>
        <v>6</v>
      </c>
      <c r="G388" s="3" t="str">
        <f t="shared" ca="1" si="111"/>
        <v>Doctorate</v>
      </c>
      <c r="H388" s="3">
        <f t="shared" ca="1" si="112"/>
        <v>1</v>
      </c>
      <c r="I388" s="3">
        <f t="shared" ca="1" si="113"/>
        <v>0</v>
      </c>
      <c r="J388" s="3">
        <f t="shared" ca="1" si="114"/>
        <v>23</v>
      </c>
      <c r="K388" s="3" t="str">
        <f t="shared" ca="1" si="115"/>
        <v>Sikkim</v>
      </c>
      <c r="L388" s="3">
        <f t="shared" ca="1" si="116"/>
        <v>34790</v>
      </c>
      <c r="M388" s="3">
        <f t="shared" ca="1" si="117"/>
        <v>208740</v>
      </c>
      <c r="N388" s="3">
        <f t="shared" ca="1" si="118"/>
        <v>178130.48103267487</v>
      </c>
      <c r="O388" s="3">
        <f t="shared" ca="1" si="119"/>
        <v>0</v>
      </c>
      <c r="P388" s="3">
        <f t="shared" ca="1" si="120"/>
        <v>0</v>
      </c>
      <c r="Q388" s="3">
        <f t="shared" ca="1" si="121"/>
        <v>13875.634091592863</v>
      </c>
      <c r="R388" s="3">
        <f t="shared" ca="1" si="122"/>
        <v>15699.767873076258</v>
      </c>
      <c r="S388" s="3">
        <f t="shared" ca="1" si="123"/>
        <v>224439.76787307626</v>
      </c>
      <c r="T388" s="3">
        <f t="shared" ca="1" si="124"/>
        <v>192006.11512426773</v>
      </c>
      <c r="U388" s="5">
        <f t="shared" ca="1" si="125"/>
        <v>32433.652748808527</v>
      </c>
    </row>
    <row r="389" spans="1:21" x14ac:dyDescent="0.35">
      <c r="A389">
        <f t="shared" ca="1" si="107"/>
        <v>2</v>
      </c>
      <c r="B389" s="4" t="str">
        <f t="shared" ca="1" si="105"/>
        <v>F</v>
      </c>
      <c r="C389" s="3">
        <f t="shared" ca="1" si="108"/>
        <v>2</v>
      </c>
      <c r="D389" s="3">
        <f t="shared" ca="1" si="106"/>
        <v>23</v>
      </c>
      <c r="E389" s="3" t="str">
        <f t="shared" ca="1" si="109"/>
        <v>Healthcare</v>
      </c>
      <c r="F389" s="3">
        <f t="shared" ca="1" si="110"/>
        <v>5</v>
      </c>
      <c r="G389" s="3" t="str">
        <f t="shared" ca="1" si="111"/>
        <v>Diploma</v>
      </c>
      <c r="H389" s="3">
        <f t="shared" ca="1" si="112"/>
        <v>1</v>
      </c>
      <c r="I389" s="3">
        <f t="shared" ca="1" si="113"/>
        <v>2</v>
      </c>
      <c r="J389" s="3">
        <f t="shared" ca="1" si="114"/>
        <v>28</v>
      </c>
      <c r="K389" s="3" t="str">
        <f t="shared" ca="1" si="115"/>
        <v>West Bengal</v>
      </c>
      <c r="L389" s="3">
        <f t="shared" ca="1" si="116"/>
        <v>88976</v>
      </c>
      <c r="M389" s="3">
        <f t="shared" ca="1" si="117"/>
        <v>533856</v>
      </c>
      <c r="N389" s="3">
        <f t="shared" ca="1" si="118"/>
        <v>372201.8063404148</v>
      </c>
      <c r="O389" s="3">
        <f t="shared" ca="1" si="119"/>
        <v>114947.40277534917</v>
      </c>
      <c r="P389" s="3">
        <f t="shared" ca="1" si="120"/>
        <v>52642.133160371268</v>
      </c>
      <c r="Q389" s="3">
        <f t="shared" ca="1" si="121"/>
        <v>71382.659954962539</v>
      </c>
      <c r="R389" s="3">
        <f t="shared" ca="1" si="122"/>
        <v>57031.641092927508</v>
      </c>
      <c r="S389" s="3">
        <f t="shared" ca="1" si="123"/>
        <v>705835.04386827676</v>
      </c>
      <c r="T389" s="3">
        <f t="shared" ca="1" si="124"/>
        <v>496226.59945574863</v>
      </c>
      <c r="U389" s="5">
        <f t="shared" ca="1" si="125"/>
        <v>209608.44441252813</v>
      </c>
    </row>
    <row r="390" spans="1:21" x14ac:dyDescent="0.35">
      <c r="A390">
        <f t="shared" ca="1" si="107"/>
        <v>1</v>
      </c>
      <c r="B390" s="4" t="str">
        <f t="shared" ca="1" si="105"/>
        <v>M</v>
      </c>
      <c r="C390" s="3">
        <f t="shared" ca="1" si="108"/>
        <v>3</v>
      </c>
      <c r="D390" s="3">
        <f t="shared" ca="1" si="106"/>
        <v>32</v>
      </c>
      <c r="E390" s="3" t="str">
        <f t="shared" ca="1" si="109"/>
        <v>IT</v>
      </c>
      <c r="F390" s="3">
        <f t="shared" ca="1" si="110"/>
        <v>2</v>
      </c>
      <c r="G390" s="3" t="str">
        <f t="shared" ca="1" si="111"/>
        <v>Senior Secondary</v>
      </c>
      <c r="H390" s="3">
        <f t="shared" ca="1" si="112"/>
        <v>0</v>
      </c>
      <c r="I390" s="3">
        <f t="shared" ca="1" si="113"/>
        <v>0</v>
      </c>
      <c r="J390" s="3">
        <f t="shared" ca="1" si="114"/>
        <v>2</v>
      </c>
      <c r="K390" s="3" t="str">
        <f t="shared" ca="1" si="115"/>
        <v>Uttar Pradesh</v>
      </c>
      <c r="L390" s="3">
        <f t="shared" ca="1" si="116"/>
        <v>49381</v>
      </c>
      <c r="M390" s="3">
        <f t="shared" ca="1" si="117"/>
        <v>296286</v>
      </c>
      <c r="N390" s="3">
        <f t="shared" ca="1" si="118"/>
        <v>49050.948401355767</v>
      </c>
      <c r="O390" s="3">
        <f t="shared" ca="1" si="119"/>
        <v>0</v>
      </c>
      <c r="P390" s="3">
        <f t="shared" ca="1" si="120"/>
        <v>0</v>
      </c>
      <c r="Q390" s="3">
        <f t="shared" ca="1" si="121"/>
        <v>40512.253593383095</v>
      </c>
      <c r="R390" s="3">
        <f t="shared" ca="1" si="122"/>
        <v>48798.105311189334</v>
      </c>
      <c r="S390" s="3">
        <f t="shared" ca="1" si="123"/>
        <v>345084.10531118931</v>
      </c>
      <c r="T390" s="3">
        <f t="shared" ca="1" si="124"/>
        <v>89563.201994738862</v>
      </c>
      <c r="U390" s="5">
        <f t="shared" ca="1" si="125"/>
        <v>255520.90331645045</v>
      </c>
    </row>
    <row r="391" spans="1:21" x14ac:dyDescent="0.35">
      <c r="A391">
        <f t="shared" ca="1" si="107"/>
        <v>1</v>
      </c>
      <c r="B391" s="4" t="str">
        <f t="shared" ref="B391:B454" ca="1" si="126">IF(A391=1,"M","F")</f>
        <v>M</v>
      </c>
      <c r="C391" s="3">
        <f t="shared" ca="1" si="108"/>
        <v>5</v>
      </c>
      <c r="D391" s="3">
        <f t="shared" ref="D391:D454" ca="1" si="127">RANDBETWEEN(18,45)</f>
        <v>45</v>
      </c>
      <c r="E391" s="3" t="str">
        <f t="shared" ca="1" si="109"/>
        <v>Research</v>
      </c>
      <c r="F391" s="3">
        <f t="shared" ca="1" si="110"/>
        <v>4</v>
      </c>
      <c r="G391" s="3" t="str">
        <f t="shared" ca="1" si="111"/>
        <v>PG</v>
      </c>
      <c r="H391" s="3">
        <f t="shared" ca="1" si="112"/>
        <v>4</v>
      </c>
      <c r="I391" s="3">
        <f t="shared" ca="1" si="113"/>
        <v>3</v>
      </c>
      <c r="J391" s="3">
        <f t="shared" ca="1" si="114"/>
        <v>11</v>
      </c>
      <c r="K391" s="3" t="str">
        <f t="shared" ca="1" si="115"/>
        <v>Goa</v>
      </c>
      <c r="L391" s="3">
        <f t="shared" ca="1" si="116"/>
        <v>94782</v>
      </c>
      <c r="M391" s="3">
        <f t="shared" ca="1" si="117"/>
        <v>853038</v>
      </c>
      <c r="N391" s="3">
        <f t="shared" ca="1" si="118"/>
        <v>18066.078054396618</v>
      </c>
      <c r="O391" s="3">
        <f t="shared" ca="1" si="119"/>
        <v>76825.621268953881</v>
      </c>
      <c r="P391" s="3">
        <f t="shared" ca="1" si="120"/>
        <v>41605.175399444146</v>
      </c>
      <c r="Q391" s="3">
        <f t="shared" ca="1" si="121"/>
        <v>55285.377153063062</v>
      </c>
      <c r="R391" s="3">
        <f t="shared" ca="1" si="122"/>
        <v>66570.503481963795</v>
      </c>
      <c r="S391" s="3">
        <f t="shared" ca="1" si="123"/>
        <v>996434.12475091766</v>
      </c>
      <c r="T391" s="3">
        <f t="shared" ca="1" si="124"/>
        <v>114956.63060690383</v>
      </c>
      <c r="U391" s="5">
        <f t="shared" ca="1" si="125"/>
        <v>881477.49414401385</v>
      </c>
    </row>
    <row r="392" spans="1:21" x14ac:dyDescent="0.35">
      <c r="A392">
        <f t="shared" ref="A392:A455" ca="1" si="128">RANDBETWEEN(1,2)</f>
        <v>2</v>
      </c>
      <c r="B392" s="4" t="str">
        <f t="shared" ca="1" si="126"/>
        <v>F</v>
      </c>
      <c r="C392" s="3">
        <f t="shared" ref="C392:C455" ca="1" si="129">RANDBETWEEN(1,7)</f>
        <v>2</v>
      </c>
      <c r="D392" s="3">
        <f t="shared" ca="1" si="127"/>
        <v>24</v>
      </c>
      <c r="E392" s="3" t="str">
        <f t="shared" ref="E392:E455" ca="1" si="130">VLOOKUP(C392,$Y$7:$Z$13,2)</f>
        <v>Healthcare</v>
      </c>
      <c r="F392" s="3">
        <f t="shared" ref="F392:F455" ca="1" si="131">RANDBETWEEN(1,7)</f>
        <v>6</v>
      </c>
      <c r="G392" s="3" t="str">
        <f t="shared" ref="G392:G455" ca="1" si="132">VLOOKUP(F392,$AB$7:$AC$13,2)</f>
        <v>Doctorate</v>
      </c>
      <c r="H392" s="3">
        <f t="shared" ref="H392:H455" ca="1" si="133">RANDBETWEEN(0,4)</f>
        <v>0</v>
      </c>
      <c r="I392" s="3">
        <f t="shared" ref="I392:I455" ca="1" si="134">RANDBETWEEN(0,3)</f>
        <v>2</v>
      </c>
      <c r="J392" s="3">
        <f t="shared" ref="J392:J455" ca="1" si="135">RANDBETWEEN(1,28)</f>
        <v>2</v>
      </c>
      <c r="K392" s="3" t="str">
        <f t="shared" ref="K392:K455" ca="1" si="136">VLOOKUP(J392,$AE$7:$AF$34,2)</f>
        <v>Uttar Pradesh</v>
      </c>
      <c r="L392" s="3">
        <f t="shared" ref="L392:L455" ca="1" si="137">RANDBETWEEN(25000,99000)</f>
        <v>65553</v>
      </c>
      <c r="M392" s="3">
        <f t="shared" ref="M392:M455" ca="1" si="138">L392*RANDBETWEEN(5,9)</f>
        <v>458871</v>
      </c>
      <c r="N392" s="3">
        <f t="shared" ref="N392:N455" ca="1" si="139">RAND()*M392</f>
        <v>266140.56083145295</v>
      </c>
      <c r="O392" s="3">
        <f t="shared" ref="O392:O455" ca="1" si="140">RAND()*I392*L392</f>
        <v>128275.6093426272</v>
      </c>
      <c r="P392" s="3">
        <f t="shared" ref="P392:P455" ca="1" si="141">O392*RAND()</f>
        <v>119607.93952232279</v>
      </c>
      <c r="Q392" s="3">
        <f t="shared" ref="Q392:Q455" ca="1" si="142">RAND()*L392</f>
        <v>19909.61068594797</v>
      </c>
      <c r="R392" s="3">
        <f t="shared" ref="R392:R455" ca="1" si="143">RAND()*L392</f>
        <v>63922.151851486757</v>
      </c>
      <c r="S392" s="3">
        <f t="shared" ref="S392:S455" ca="1" si="144">M392+O392+R392</f>
        <v>651068.76119411399</v>
      </c>
      <c r="T392" s="3">
        <f t="shared" ref="T392:T455" ca="1" si="145">N392+P392+Q392</f>
        <v>405658.11103972374</v>
      </c>
      <c r="U392" s="5">
        <f t="shared" ref="U392:U455" ca="1" si="146">S392-T392</f>
        <v>245410.65015439026</v>
      </c>
    </row>
    <row r="393" spans="1:21" x14ac:dyDescent="0.35">
      <c r="A393">
        <f t="shared" ca="1" si="128"/>
        <v>2</v>
      </c>
      <c r="B393" s="4" t="str">
        <f t="shared" ca="1" si="126"/>
        <v>F</v>
      </c>
      <c r="C393" s="3">
        <f t="shared" ca="1" si="129"/>
        <v>6</v>
      </c>
      <c r="D393" s="3">
        <f t="shared" ca="1" si="127"/>
        <v>19</v>
      </c>
      <c r="E393" s="3" t="str">
        <f t="shared" ca="1" si="130"/>
        <v>Art</v>
      </c>
      <c r="F393" s="3">
        <f t="shared" ca="1" si="131"/>
        <v>3</v>
      </c>
      <c r="G393" s="3" t="str">
        <f t="shared" ca="1" si="132"/>
        <v>UG</v>
      </c>
      <c r="H393" s="3">
        <f t="shared" ca="1" si="133"/>
        <v>0</v>
      </c>
      <c r="I393" s="3">
        <f t="shared" ca="1" si="134"/>
        <v>1</v>
      </c>
      <c r="J393" s="3">
        <f t="shared" ca="1" si="135"/>
        <v>25</v>
      </c>
      <c r="K393" s="3" t="str">
        <f t="shared" ca="1" si="136"/>
        <v>Telangana</v>
      </c>
      <c r="L393" s="3">
        <f t="shared" ca="1" si="137"/>
        <v>69486</v>
      </c>
      <c r="M393" s="3">
        <f t="shared" ca="1" si="138"/>
        <v>416916</v>
      </c>
      <c r="N393" s="3">
        <f t="shared" ca="1" si="139"/>
        <v>273508.09867634624</v>
      </c>
      <c r="O393" s="3">
        <f t="shared" ca="1" si="140"/>
        <v>62936.714596075828</v>
      </c>
      <c r="P393" s="3">
        <f t="shared" ca="1" si="141"/>
        <v>7244.6599125917573</v>
      </c>
      <c r="Q393" s="3">
        <f t="shared" ca="1" si="142"/>
        <v>58087.161251516096</v>
      </c>
      <c r="R393" s="3">
        <f t="shared" ca="1" si="143"/>
        <v>39817.751131668112</v>
      </c>
      <c r="S393" s="3">
        <f t="shared" ca="1" si="144"/>
        <v>519670.46572774393</v>
      </c>
      <c r="T393" s="3">
        <f t="shared" ca="1" si="145"/>
        <v>338839.91984045407</v>
      </c>
      <c r="U393" s="5">
        <f t="shared" ca="1" si="146"/>
        <v>180830.54588728986</v>
      </c>
    </row>
    <row r="394" spans="1:21" x14ac:dyDescent="0.35">
      <c r="A394">
        <f t="shared" ca="1" si="128"/>
        <v>1</v>
      </c>
      <c r="B394" s="4" t="str">
        <f t="shared" ca="1" si="126"/>
        <v>M</v>
      </c>
      <c r="C394" s="3">
        <f t="shared" ca="1" si="129"/>
        <v>7</v>
      </c>
      <c r="D394" s="3">
        <f t="shared" ca="1" si="127"/>
        <v>26</v>
      </c>
      <c r="E394" s="3" t="str">
        <f t="shared" ca="1" si="130"/>
        <v>Other</v>
      </c>
      <c r="F394" s="3">
        <f t="shared" ca="1" si="131"/>
        <v>3</v>
      </c>
      <c r="G394" s="3" t="str">
        <f t="shared" ca="1" si="132"/>
        <v>UG</v>
      </c>
      <c r="H394" s="3">
        <f t="shared" ca="1" si="133"/>
        <v>3</v>
      </c>
      <c r="I394" s="3">
        <f t="shared" ca="1" si="134"/>
        <v>1</v>
      </c>
      <c r="J394" s="3">
        <f t="shared" ca="1" si="135"/>
        <v>15</v>
      </c>
      <c r="K394" s="3" t="str">
        <f t="shared" ca="1" si="136"/>
        <v>Kerela</v>
      </c>
      <c r="L394" s="3">
        <f t="shared" ca="1" si="137"/>
        <v>30989</v>
      </c>
      <c r="M394" s="3">
        <f t="shared" ca="1" si="138"/>
        <v>154945</v>
      </c>
      <c r="N394" s="3">
        <f t="shared" ca="1" si="139"/>
        <v>4383.8866778762067</v>
      </c>
      <c r="O394" s="3">
        <f t="shared" ca="1" si="140"/>
        <v>137.77268316816333</v>
      </c>
      <c r="P394" s="3">
        <f t="shared" ca="1" si="141"/>
        <v>18.888003015101862</v>
      </c>
      <c r="Q394" s="3">
        <f t="shared" ca="1" si="142"/>
        <v>26659.306661146533</v>
      </c>
      <c r="R394" s="3">
        <f t="shared" ca="1" si="143"/>
        <v>18654.637283648608</v>
      </c>
      <c r="S394" s="3">
        <f t="shared" ca="1" si="144"/>
        <v>173737.40996681675</v>
      </c>
      <c r="T394" s="3">
        <f t="shared" ca="1" si="145"/>
        <v>31062.08134203784</v>
      </c>
      <c r="U394" s="5">
        <f t="shared" ca="1" si="146"/>
        <v>142675.32862477889</v>
      </c>
    </row>
    <row r="395" spans="1:21" x14ac:dyDescent="0.35">
      <c r="A395">
        <f t="shared" ca="1" si="128"/>
        <v>2</v>
      </c>
      <c r="B395" s="4" t="str">
        <f t="shared" ca="1" si="126"/>
        <v>F</v>
      </c>
      <c r="C395" s="3">
        <f t="shared" ca="1" si="129"/>
        <v>2</v>
      </c>
      <c r="D395" s="3">
        <f t="shared" ca="1" si="127"/>
        <v>21</v>
      </c>
      <c r="E395" s="3" t="str">
        <f t="shared" ca="1" si="130"/>
        <v>Healthcare</v>
      </c>
      <c r="F395" s="3">
        <f t="shared" ca="1" si="131"/>
        <v>7</v>
      </c>
      <c r="G395" s="3" t="str">
        <f t="shared" ca="1" si="132"/>
        <v>Other</v>
      </c>
      <c r="H395" s="3">
        <f t="shared" ca="1" si="133"/>
        <v>1</v>
      </c>
      <c r="I395" s="3">
        <f t="shared" ca="1" si="134"/>
        <v>3</v>
      </c>
      <c r="J395" s="3">
        <f t="shared" ca="1" si="135"/>
        <v>16</v>
      </c>
      <c r="K395" s="3" t="str">
        <f t="shared" ca="1" si="136"/>
        <v>Madhya Pradesh</v>
      </c>
      <c r="L395" s="3">
        <f t="shared" ca="1" si="137"/>
        <v>45185</v>
      </c>
      <c r="M395" s="3">
        <f t="shared" ca="1" si="138"/>
        <v>271110</v>
      </c>
      <c r="N395" s="3">
        <f t="shared" ca="1" si="139"/>
        <v>97949.806974089806</v>
      </c>
      <c r="O395" s="3">
        <f t="shared" ca="1" si="140"/>
        <v>979.39193932993555</v>
      </c>
      <c r="P395" s="3">
        <f t="shared" ca="1" si="141"/>
        <v>265.27541956600959</v>
      </c>
      <c r="Q395" s="3">
        <f t="shared" ca="1" si="142"/>
        <v>25314.733951430033</v>
      </c>
      <c r="R395" s="3">
        <f t="shared" ca="1" si="143"/>
        <v>1055.62451234946</v>
      </c>
      <c r="S395" s="3">
        <f t="shared" ca="1" si="144"/>
        <v>273145.0164516794</v>
      </c>
      <c r="T395" s="3">
        <f t="shared" ca="1" si="145"/>
        <v>123529.81634508586</v>
      </c>
      <c r="U395" s="5">
        <f t="shared" ca="1" si="146"/>
        <v>149615.20010659355</v>
      </c>
    </row>
    <row r="396" spans="1:21" x14ac:dyDescent="0.35">
      <c r="A396">
        <f t="shared" ca="1" si="128"/>
        <v>2</v>
      </c>
      <c r="B396" s="4" t="str">
        <f t="shared" ca="1" si="126"/>
        <v>F</v>
      </c>
      <c r="C396" s="3">
        <f t="shared" ca="1" si="129"/>
        <v>1</v>
      </c>
      <c r="D396" s="3">
        <f t="shared" ca="1" si="127"/>
        <v>26</v>
      </c>
      <c r="E396" s="3" t="str">
        <f t="shared" ca="1" si="130"/>
        <v>Engineering</v>
      </c>
      <c r="F396" s="3">
        <f t="shared" ca="1" si="131"/>
        <v>5</v>
      </c>
      <c r="G396" s="3" t="str">
        <f t="shared" ca="1" si="132"/>
        <v>Diploma</v>
      </c>
      <c r="H396" s="3">
        <f t="shared" ca="1" si="133"/>
        <v>2</v>
      </c>
      <c r="I396" s="3">
        <f t="shared" ca="1" si="134"/>
        <v>1</v>
      </c>
      <c r="J396" s="3">
        <f t="shared" ca="1" si="135"/>
        <v>5</v>
      </c>
      <c r="K396" s="3" t="str">
        <f t="shared" ca="1" si="136"/>
        <v>Andhra Pradesh</v>
      </c>
      <c r="L396" s="3">
        <f t="shared" ca="1" si="137"/>
        <v>57460</v>
      </c>
      <c r="M396" s="3">
        <f t="shared" ca="1" si="138"/>
        <v>344760</v>
      </c>
      <c r="N396" s="3">
        <f t="shared" ca="1" si="139"/>
        <v>77468.038994493894</v>
      </c>
      <c r="O396" s="3">
        <f t="shared" ca="1" si="140"/>
        <v>56493.062607385371</v>
      </c>
      <c r="P396" s="3">
        <f t="shared" ca="1" si="141"/>
        <v>4089.6053901884861</v>
      </c>
      <c r="Q396" s="3">
        <f t="shared" ca="1" si="142"/>
        <v>35956.157431144937</v>
      </c>
      <c r="R396" s="3">
        <f t="shared" ca="1" si="143"/>
        <v>14020.700682382472</v>
      </c>
      <c r="S396" s="3">
        <f t="shared" ca="1" si="144"/>
        <v>415273.76328976784</v>
      </c>
      <c r="T396" s="3">
        <f t="shared" ca="1" si="145"/>
        <v>117513.80181582732</v>
      </c>
      <c r="U396" s="5">
        <f t="shared" ca="1" si="146"/>
        <v>297759.96147394052</v>
      </c>
    </row>
    <row r="397" spans="1:21" x14ac:dyDescent="0.35">
      <c r="A397">
        <f t="shared" ca="1" si="128"/>
        <v>2</v>
      </c>
      <c r="B397" s="4" t="str">
        <f t="shared" ca="1" si="126"/>
        <v>F</v>
      </c>
      <c r="C397" s="3">
        <f t="shared" ca="1" si="129"/>
        <v>1</v>
      </c>
      <c r="D397" s="3">
        <f t="shared" ca="1" si="127"/>
        <v>31</v>
      </c>
      <c r="E397" s="3" t="str">
        <f t="shared" ca="1" si="130"/>
        <v>Engineering</v>
      </c>
      <c r="F397" s="3">
        <f t="shared" ca="1" si="131"/>
        <v>5</v>
      </c>
      <c r="G397" s="3" t="str">
        <f t="shared" ca="1" si="132"/>
        <v>Diploma</v>
      </c>
      <c r="H397" s="3">
        <f t="shared" ca="1" si="133"/>
        <v>3</v>
      </c>
      <c r="I397" s="3">
        <f t="shared" ca="1" si="134"/>
        <v>1</v>
      </c>
      <c r="J397" s="3">
        <f t="shared" ca="1" si="135"/>
        <v>8</v>
      </c>
      <c r="K397" s="3" t="str">
        <f t="shared" ca="1" si="136"/>
        <v>Bihar</v>
      </c>
      <c r="L397" s="3">
        <f t="shared" ca="1" si="137"/>
        <v>96695</v>
      </c>
      <c r="M397" s="3">
        <f t="shared" ca="1" si="138"/>
        <v>580170</v>
      </c>
      <c r="N397" s="3">
        <f t="shared" ca="1" si="139"/>
        <v>428222.51003199577</v>
      </c>
      <c r="O397" s="3">
        <f t="shared" ca="1" si="140"/>
        <v>55957.939795036953</v>
      </c>
      <c r="P397" s="3">
        <f t="shared" ca="1" si="141"/>
        <v>29648.392952623119</v>
      </c>
      <c r="Q397" s="3">
        <f t="shared" ca="1" si="142"/>
        <v>60564.79523373086</v>
      </c>
      <c r="R397" s="3">
        <f t="shared" ca="1" si="143"/>
        <v>93890.438983651198</v>
      </c>
      <c r="S397" s="3">
        <f t="shared" ca="1" si="144"/>
        <v>730018.37877868814</v>
      </c>
      <c r="T397" s="3">
        <f t="shared" ca="1" si="145"/>
        <v>518435.69821834977</v>
      </c>
      <c r="U397" s="5">
        <f t="shared" ca="1" si="146"/>
        <v>211582.68056033837</v>
      </c>
    </row>
    <row r="398" spans="1:21" x14ac:dyDescent="0.35">
      <c r="A398">
        <f t="shared" ca="1" si="128"/>
        <v>2</v>
      </c>
      <c r="B398" s="4" t="str">
        <f t="shared" ca="1" si="126"/>
        <v>F</v>
      </c>
      <c r="C398" s="3">
        <f t="shared" ca="1" si="129"/>
        <v>1</v>
      </c>
      <c r="D398" s="3">
        <f t="shared" ca="1" si="127"/>
        <v>40</v>
      </c>
      <c r="E398" s="3" t="str">
        <f t="shared" ca="1" si="130"/>
        <v>Engineering</v>
      </c>
      <c r="F398" s="3">
        <f t="shared" ca="1" si="131"/>
        <v>3</v>
      </c>
      <c r="G398" s="3" t="str">
        <f t="shared" ca="1" si="132"/>
        <v>UG</v>
      </c>
      <c r="H398" s="3">
        <f t="shared" ca="1" si="133"/>
        <v>3</v>
      </c>
      <c r="I398" s="3">
        <f t="shared" ca="1" si="134"/>
        <v>1</v>
      </c>
      <c r="J398" s="3">
        <f t="shared" ca="1" si="135"/>
        <v>11</v>
      </c>
      <c r="K398" s="3" t="str">
        <f t="shared" ca="1" si="136"/>
        <v>Goa</v>
      </c>
      <c r="L398" s="3">
        <f t="shared" ca="1" si="137"/>
        <v>86153</v>
      </c>
      <c r="M398" s="3">
        <f t="shared" ca="1" si="138"/>
        <v>430765</v>
      </c>
      <c r="N398" s="3">
        <f t="shared" ca="1" si="139"/>
        <v>157163.22898122386</v>
      </c>
      <c r="O398" s="3">
        <f t="shared" ca="1" si="140"/>
        <v>46220.844455804945</v>
      </c>
      <c r="P398" s="3">
        <f t="shared" ca="1" si="141"/>
        <v>30343.47245196209</v>
      </c>
      <c r="Q398" s="3">
        <f t="shared" ca="1" si="142"/>
        <v>75331.042212551984</v>
      </c>
      <c r="R398" s="3">
        <f t="shared" ca="1" si="143"/>
        <v>82468.485924689681</v>
      </c>
      <c r="S398" s="3">
        <f t="shared" ca="1" si="144"/>
        <v>559454.33038049471</v>
      </c>
      <c r="T398" s="3">
        <f t="shared" ca="1" si="145"/>
        <v>262837.74364573794</v>
      </c>
      <c r="U398" s="5">
        <f t="shared" ca="1" si="146"/>
        <v>296616.58673475677</v>
      </c>
    </row>
    <row r="399" spans="1:21" x14ac:dyDescent="0.35">
      <c r="A399">
        <f t="shared" ca="1" si="128"/>
        <v>2</v>
      </c>
      <c r="B399" s="4" t="str">
        <f t="shared" ca="1" si="126"/>
        <v>F</v>
      </c>
      <c r="C399" s="3">
        <f t="shared" ca="1" si="129"/>
        <v>3</v>
      </c>
      <c r="D399" s="3">
        <f t="shared" ca="1" si="127"/>
        <v>18</v>
      </c>
      <c r="E399" s="3" t="str">
        <f t="shared" ca="1" si="130"/>
        <v>IT</v>
      </c>
      <c r="F399" s="3">
        <f t="shared" ca="1" si="131"/>
        <v>1</v>
      </c>
      <c r="G399" s="3" t="str">
        <f t="shared" ca="1" si="132"/>
        <v>Secondary</v>
      </c>
      <c r="H399" s="3">
        <f t="shared" ca="1" si="133"/>
        <v>0</v>
      </c>
      <c r="I399" s="3">
        <f t="shared" ca="1" si="134"/>
        <v>2</v>
      </c>
      <c r="J399" s="3">
        <f t="shared" ca="1" si="135"/>
        <v>6</v>
      </c>
      <c r="K399" s="3" t="str">
        <f t="shared" ca="1" si="136"/>
        <v>Arunachal Pradesh</v>
      </c>
      <c r="L399" s="3">
        <f t="shared" ca="1" si="137"/>
        <v>96008</v>
      </c>
      <c r="M399" s="3">
        <f t="shared" ca="1" si="138"/>
        <v>768064</v>
      </c>
      <c r="N399" s="3">
        <f t="shared" ca="1" si="139"/>
        <v>368828.5004604077</v>
      </c>
      <c r="O399" s="3">
        <f t="shared" ca="1" si="140"/>
        <v>182452.92650439907</v>
      </c>
      <c r="P399" s="3">
        <f t="shared" ca="1" si="141"/>
        <v>102106.89996178669</v>
      </c>
      <c r="Q399" s="3">
        <f t="shared" ca="1" si="142"/>
        <v>24468.799341986083</v>
      </c>
      <c r="R399" s="3">
        <f t="shared" ca="1" si="143"/>
        <v>49152.990235741119</v>
      </c>
      <c r="S399" s="3">
        <f t="shared" ca="1" si="144"/>
        <v>999669.91674014018</v>
      </c>
      <c r="T399" s="3">
        <f t="shared" ca="1" si="145"/>
        <v>495404.19976418046</v>
      </c>
      <c r="U399" s="5">
        <f t="shared" ca="1" si="146"/>
        <v>504265.71697595972</v>
      </c>
    </row>
    <row r="400" spans="1:21" x14ac:dyDescent="0.35">
      <c r="A400">
        <f t="shared" ca="1" si="128"/>
        <v>1</v>
      </c>
      <c r="B400" s="4" t="str">
        <f t="shared" ca="1" si="126"/>
        <v>M</v>
      </c>
      <c r="C400" s="3">
        <f t="shared" ca="1" si="129"/>
        <v>4</v>
      </c>
      <c r="D400" s="3">
        <f t="shared" ca="1" si="127"/>
        <v>41</v>
      </c>
      <c r="E400" s="3" t="str">
        <f t="shared" ca="1" si="130"/>
        <v>Accounting</v>
      </c>
      <c r="F400" s="3">
        <f t="shared" ca="1" si="131"/>
        <v>4</v>
      </c>
      <c r="G400" s="3" t="str">
        <f t="shared" ca="1" si="132"/>
        <v>PG</v>
      </c>
      <c r="H400" s="3">
        <f t="shared" ca="1" si="133"/>
        <v>4</v>
      </c>
      <c r="I400" s="3">
        <f t="shared" ca="1" si="134"/>
        <v>1</v>
      </c>
      <c r="J400" s="3">
        <f t="shared" ca="1" si="135"/>
        <v>3</v>
      </c>
      <c r="K400" s="3" t="str">
        <f t="shared" ca="1" si="136"/>
        <v>Punjab</v>
      </c>
      <c r="L400" s="3">
        <f t="shared" ca="1" si="137"/>
        <v>78668</v>
      </c>
      <c r="M400" s="3">
        <f t="shared" ca="1" si="138"/>
        <v>629344</v>
      </c>
      <c r="N400" s="3">
        <f t="shared" ca="1" si="139"/>
        <v>355783.71372505708</v>
      </c>
      <c r="O400" s="3">
        <f t="shared" ca="1" si="140"/>
        <v>6247.849439075806</v>
      </c>
      <c r="P400" s="3">
        <f t="shared" ca="1" si="141"/>
        <v>744.62843127295139</v>
      </c>
      <c r="Q400" s="3">
        <f t="shared" ca="1" si="142"/>
        <v>65661.992786684612</v>
      </c>
      <c r="R400" s="3">
        <f t="shared" ca="1" si="143"/>
        <v>61893.846321462457</v>
      </c>
      <c r="S400" s="3">
        <f t="shared" ca="1" si="144"/>
        <v>697485.69576053822</v>
      </c>
      <c r="T400" s="3">
        <f t="shared" ca="1" si="145"/>
        <v>422190.3349430146</v>
      </c>
      <c r="U400" s="5">
        <f t="shared" ca="1" si="146"/>
        <v>275295.36081752361</v>
      </c>
    </row>
    <row r="401" spans="1:21" x14ac:dyDescent="0.35">
      <c r="A401">
        <f t="shared" ca="1" si="128"/>
        <v>2</v>
      </c>
      <c r="B401" s="4" t="str">
        <f t="shared" ca="1" si="126"/>
        <v>F</v>
      </c>
      <c r="C401" s="3">
        <f t="shared" ca="1" si="129"/>
        <v>5</v>
      </c>
      <c r="D401" s="3">
        <f t="shared" ca="1" si="127"/>
        <v>28</v>
      </c>
      <c r="E401" s="3" t="str">
        <f t="shared" ca="1" si="130"/>
        <v>Research</v>
      </c>
      <c r="F401" s="3">
        <f t="shared" ca="1" si="131"/>
        <v>2</v>
      </c>
      <c r="G401" s="3" t="str">
        <f t="shared" ca="1" si="132"/>
        <v>Senior Secondary</v>
      </c>
      <c r="H401" s="3">
        <f t="shared" ca="1" si="133"/>
        <v>4</v>
      </c>
      <c r="I401" s="3">
        <f t="shared" ca="1" si="134"/>
        <v>3</v>
      </c>
      <c r="J401" s="3">
        <f t="shared" ca="1" si="135"/>
        <v>12</v>
      </c>
      <c r="K401" s="3" t="str">
        <f t="shared" ca="1" si="136"/>
        <v>Himachal Pradesh</v>
      </c>
      <c r="L401" s="3">
        <f t="shared" ca="1" si="137"/>
        <v>84606</v>
      </c>
      <c r="M401" s="3">
        <f t="shared" ca="1" si="138"/>
        <v>423030</v>
      </c>
      <c r="N401" s="3">
        <f t="shared" ca="1" si="139"/>
        <v>271861.13652044523</v>
      </c>
      <c r="O401" s="3">
        <f t="shared" ca="1" si="140"/>
        <v>169606.73984454304</v>
      </c>
      <c r="P401" s="3">
        <f t="shared" ca="1" si="141"/>
        <v>119680.60712836747</v>
      </c>
      <c r="Q401" s="3">
        <f t="shared" ca="1" si="142"/>
        <v>22459.58262510207</v>
      </c>
      <c r="R401" s="3">
        <f t="shared" ca="1" si="143"/>
        <v>13234.74940447896</v>
      </c>
      <c r="S401" s="3">
        <f t="shared" ca="1" si="144"/>
        <v>605871.48924902198</v>
      </c>
      <c r="T401" s="3">
        <f t="shared" ca="1" si="145"/>
        <v>414001.32627391478</v>
      </c>
      <c r="U401" s="5">
        <f t="shared" ca="1" si="146"/>
        <v>191870.1629751072</v>
      </c>
    </row>
    <row r="402" spans="1:21" x14ac:dyDescent="0.35">
      <c r="A402">
        <f t="shared" ca="1" si="128"/>
        <v>1</v>
      </c>
      <c r="B402" s="4" t="str">
        <f t="shared" ca="1" si="126"/>
        <v>M</v>
      </c>
      <c r="C402" s="3">
        <f t="shared" ca="1" si="129"/>
        <v>1</v>
      </c>
      <c r="D402" s="3">
        <f t="shared" ca="1" si="127"/>
        <v>41</v>
      </c>
      <c r="E402" s="3" t="str">
        <f t="shared" ca="1" si="130"/>
        <v>Engineering</v>
      </c>
      <c r="F402" s="3">
        <f t="shared" ca="1" si="131"/>
        <v>1</v>
      </c>
      <c r="G402" s="3" t="str">
        <f t="shared" ca="1" si="132"/>
        <v>Secondary</v>
      </c>
      <c r="H402" s="3">
        <f t="shared" ca="1" si="133"/>
        <v>1</v>
      </c>
      <c r="I402" s="3">
        <f t="shared" ca="1" si="134"/>
        <v>1</v>
      </c>
      <c r="J402" s="3">
        <f t="shared" ca="1" si="135"/>
        <v>20</v>
      </c>
      <c r="K402" s="3" t="str">
        <f t="shared" ca="1" si="136"/>
        <v>Nagaland</v>
      </c>
      <c r="L402" s="3">
        <f t="shared" ca="1" si="137"/>
        <v>72956</v>
      </c>
      <c r="M402" s="3">
        <f t="shared" ca="1" si="138"/>
        <v>583648</v>
      </c>
      <c r="N402" s="3">
        <f t="shared" ca="1" si="139"/>
        <v>256865.95901147253</v>
      </c>
      <c r="O402" s="3">
        <f t="shared" ca="1" si="140"/>
        <v>42200.036667747889</v>
      </c>
      <c r="P402" s="3">
        <f t="shared" ca="1" si="141"/>
        <v>25818.17974032975</v>
      </c>
      <c r="Q402" s="3">
        <f t="shared" ca="1" si="142"/>
        <v>53444.829972148866</v>
      </c>
      <c r="R402" s="3">
        <f t="shared" ca="1" si="143"/>
        <v>50614.309840504895</v>
      </c>
      <c r="S402" s="3">
        <f t="shared" ca="1" si="144"/>
        <v>676462.34650825278</v>
      </c>
      <c r="T402" s="3">
        <f t="shared" ca="1" si="145"/>
        <v>336128.96872395114</v>
      </c>
      <c r="U402" s="5">
        <f t="shared" ca="1" si="146"/>
        <v>340333.37778430164</v>
      </c>
    </row>
    <row r="403" spans="1:21" x14ac:dyDescent="0.35">
      <c r="A403">
        <f t="shared" ca="1" si="128"/>
        <v>2</v>
      </c>
      <c r="B403" s="4" t="str">
        <f t="shared" ca="1" si="126"/>
        <v>F</v>
      </c>
      <c r="C403" s="3">
        <f t="shared" ca="1" si="129"/>
        <v>2</v>
      </c>
      <c r="D403" s="3">
        <f t="shared" ca="1" si="127"/>
        <v>26</v>
      </c>
      <c r="E403" s="3" t="str">
        <f t="shared" ca="1" si="130"/>
        <v>Healthcare</v>
      </c>
      <c r="F403" s="3">
        <f t="shared" ca="1" si="131"/>
        <v>4</v>
      </c>
      <c r="G403" s="3" t="str">
        <f t="shared" ca="1" si="132"/>
        <v>PG</v>
      </c>
      <c r="H403" s="3">
        <f t="shared" ca="1" si="133"/>
        <v>3</v>
      </c>
      <c r="I403" s="3">
        <f t="shared" ca="1" si="134"/>
        <v>2</v>
      </c>
      <c r="J403" s="3">
        <f t="shared" ca="1" si="135"/>
        <v>27</v>
      </c>
      <c r="K403" s="3" t="str">
        <f t="shared" ca="1" si="136"/>
        <v>Uttrakhand</v>
      </c>
      <c r="L403" s="3">
        <f t="shared" ca="1" si="137"/>
        <v>51939</v>
      </c>
      <c r="M403" s="3">
        <f t="shared" ca="1" si="138"/>
        <v>467451</v>
      </c>
      <c r="N403" s="3">
        <f t="shared" ca="1" si="139"/>
        <v>106900.51794330095</v>
      </c>
      <c r="O403" s="3">
        <f t="shared" ca="1" si="140"/>
        <v>86289.606647332635</v>
      </c>
      <c r="P403" s="3">
        <f t="shared" ca="1" si="141"/>
        <v>23461.266091498877</v>
      </c>
      <c r="Q403" s="3">
        <f t="shared" ca="1" si="142"/>
        <v>47513.577375368339</v>
      </c>
      <c r="R403" s="3">
        <f t="shared" ca="1" si="143"/>
        <v>8003.0244292833659</v>
      </c>
      <c r="S403" s="3">
        <f t="shared" ca="1" si="144"/>
        <v>561743.631076616</v>
      </c>
      <c r="T403" s="3">
        <f t="shared" ca="1" si="145"/>
        <v>177875.36141016817</v>
      </c>
      <c r="U403" s="5">
        <f t="shared" ca="1" si="146"/>
        <v>383868.26966644783</v>
      </c>
    </row>
    <row r="404" spans="1:21" x14ac:dyDescent="0.35">
      <c r="A404">
        <f t="shared" ca="1" si="128"/>
        <v>2</v>
      </c>
      <c r="B404" s="4" t="str">
        <f t="shared" ca="1" si="126"/>
        <v>F</v>
      </c>
      <c r="C404" s="3">
        <f t="shared" ca="1" si="129"/>
        <v>5</v>
      </c>
      <c r="D404" s="3">
        <f t="shared" ca="1" si="127"/>
        <v>31</v>
      </c>
      <c r="E404" s="3" t="str">
        <f t="shared" ca="1" si="130"/>
        <v>Research</v>
      </c>
      <c r="F404" s="3">
        <f t="shared" ca="1" si="131"/>
        <v>4</v>
      </c>
      <c r="G404" s="3" t="str">
        <f t="shared" ca="1" si="132"/>
        <v>PG</v>
      </c>
      <c r="H404" s="3">
        <f t="shared" ca="1" si="133"/>
        <v>0</v>
      </c>
      <c r="I404" s="3">
        <f t="shared" ca="1" si="134"/>
        <v>0</v>
      </c>
      <c r="J404" s="3">
        <f t="shared" ca="1" si="135"/>
        <v>18</v>
      </c>
      <c r="K404" s="3" t="str">
        <f t="shared" ca="1" si="136"/>
        <v>Meghalya</v>
      </c>
      <c r="L404" s="3">
        <f t="shared" ca="1" si="137"/>
        <v>67954</v>
      </c>
      <c r="M404" s="3">
        <f t="shared" ca="1" si="138"/>
        <v>407724</v>
      </c>
      <c r="N404" s="3">
        <f t="shared" ca="1" si="139"/>
        <v>192180.10224731677</v>
      </c>
      <c r="O404" s="3">
        <f t="shared" ca="1" si="140"/>
        <v>0</v>
      </c>
      <c r="P404" s="3">
        <f t="shared" ca="1" si="141"/>
        <v>0</v>
      </c>
      <c r="Q404" s="3">
        <f t="shared" ca="1" si="142"/>
        <v>55277.834368122625</v>
      </c>
      <c r="R404" s="3">
        <f t="shared" ca="1" si="143"/>
        <v>13374.232914867694</v>
      </c>
      <c r="S404" s="3">
        <f t="shared" ca="1" si="144"/>
        <v>421098.23291486769</v>
      </c>
      <c r="T404" s="3">
        <f t="shared" ca="1" si="145"/>
        <v>247457.93661543939</v>
      </c>
      <c r="U404" s="5">
        <f t="shared" ca="1" si="146"/>
        <v>173640.2962994283</v>
      </c>
    </row>
    <row r="405" spans="1:21" x14ac:dyDescent="0.35">
      <c r="A405">
        <f t="shared" ca="1" si="128"/>
        <v>1</v>
      </c>
      <c r="B405" s="4" t="str">
        <f t="shared" ca="1" si="126"/>
        <v>M</v>
      </c>
      <c r="C405" s="3">
        <f t="shared" ca="1" si="129"/>
        <v>4</v>
      </c>
      <c r="D405" s="3">
        <f t="shared" ca="1" si="127"/>
        <v>23</v>
      </c>
      <c r="E405" s="3" t="str">
        <f t="shared" ca="1" si="130"/>
        <v>Accounting</v>
      </c>
      <c r="F405" s="3">
        <f t="shared" ca="1" si="131"/>
        <v>5</v>
      </c>
      <c r="G405" s="3" t="str">
        <f t="shared" ca="1" si="132"/>
        <v>Diploma</v>
      </c>
      <c r="H405" s="3">
        <f t="shared" ca="1" si="133"/>
        <v>0</v>
      </c>
      <c r="I405" s="3">
        <f t="shared" ca="1" si="134"/>
        <v>0</v>
      </c>
      <c r="J405" s="3">
        <f t="shared" ca="1" si="135"/>
        <v>27</v>
      </c>
      <c r="K405" s="3" t="str">
        <f t="shared" ca="1" si="136"/>
        <v>Uttrakhand</v>
      </c>
      <c r="L405" s="3">
        <f t="shared" ca="1" si="137"/>
        <v>75820</v>
      </c>
      <c r="M405" s="3">
        <f t="shared" ca="1" si="138"/>
        <v>682380</v>
      </c>
      <c r="N405" s="3">
        <f t="shared" ca="1" si="139"/>
        <v>162545.78870336071</v>
      </c>
      <c r="O405" s="3">
        <f t="shared" ca="1" si="140"/>
        <v>0</v>
      </c>
      <c r="P405" s="3">
        <f t="shared" ca="1" si="141"/>
        <v>0</v>
      </c>
      <c r="Q405" s="3">
        <f t="shared" ca="1" si="142"/>
        <v>64660.181155697152</v>
      </c>
      <c r="R405" s="3">
        <f t="shared" ca="1" si="143"/>
        <v>57010.843618318751</v>
      </c>
      <c r="S405" s="3">
        <f t="shared" ca="1" si="144"/>
        <v>739390.84361831879</v>
      </c>
      <c r="T405" s="3">
        <f t="shared" ca="1" si="145"/>
        <v>227205.96985905786</v>
      </c>
      <c r="U405" s="5">
        <f t="shared" ca="1" si="146"/>
        <v>512184.87375926092</v>
      </c>
    </row>
    <row r="406" spans="1:21" x14ac:dyDescent="0.35">
      <c r="A406">
        <f t="shared" ca="1" si="128"/>
        <v>2</v>
      </c>
      <c r="B406" s="4" t="str">
        <f t="shared" ca="1" si="126"/>
        <v>F</v>
      </c>
      <c r="C406" s="3">
        <f t="shared" ca="1" si="129"/>
        <v>6</v>
      </c>
      <c r="D406" s="3">
        <f t="shared" ca="1" si="127"/>
        <v>32</v>
      </c>
      <c r="E406" s="3" t="str">
        <f t="shared" ca="1" si="130"/>
        <v>Art</v>
      </c>
      <c r="F406" s="3">
        <f t="shared" ca="1" si="131"/>
        <v>2</v>
      </c>
      <c r="G406" s="3" t="str">
        <f t="shared" ca="1" si="132"/>
        <v>Senior Secondary</v>
      </c>
      <c r="H406" s="3">
        <f t="shared" ca="1" si="133"/>
        <v>3</v>
      </c>
      <c r="I406" s="3">
        <f t="shared" ca="1" si="134"/>
        <v>1</v>
      </c>
      <c r="J406" s="3">
        <f t="shared" ca="1" si="135"/>
        <v>11</v>
      </c>
      <c r="K406" s="3" t="str">
        <f t="shared" ca="1" si="136"/>
        <v>Goa</v>
      </c>
      <c r="L406" s="3">
        <f t="shared" ca="1" si="137"/>
        <v>32039</v>
      </c>
      <c r="M406" s="3">
        <f t="shared" ca="1" si="138"/>
        <v>192234</v>
      </c>
      <c r="N406" s="3">
        <f t="shared" ca="1" si="139"/>
        <v>192166.51802312629</v>
      </c>
      <c r="O406" s="3">
        <f t="shared" ca="1" si="140"/>
        <v>5169.936555628542</v>
      </c>
      <c r="P406" s="3">
        <f t="shared" ca="1" si="141"/>
        <v>2406.6454478893374</v>
      </c>
      <c r="Q406" s="3">
        <f t="shared" ca="1" si="142"/>
        <v>12351.547314764694</v>
      </c>
      <c r="R406" s="3">
        <f t="shared" ca="1" si="143"/>
        <v>6839.462622405983</v>
      </c>
      <c r="S406" s="3">
        <f t="shared" ca="1" si="144"/>
        <v>204243.39917803454</v>
      </c>
      <c r="T406" s="3">
        <f t="shared" ca="1" si="145"/>
        <v>206924.71078578033</v>
      </c>
      <c r="U406" s="5">
        <f t="shared" ca="1" si="146"/>
        <v>-2681.3116077457962</v>
      </c>
    </row>
    <row r="407" spans="1:21" x14ac:dyDescent="0.35">
      <c r="A407">
        <f t="shared" ca="1" si="128"/>
        <v>2</v>
      </c>
      <c r="B407" s="4" t="str">
        <f t="shared" ca="1" si="126"/>
        <v>F</v>
      </c>
      <c r="C407" s="3">
        <f t="shared" ca="1" si="129"/>
        <v>3</v>
      </c>
      <c r="D407" s="3">
        <f t="shared" ca="1" si="127"/>
        <v>32</v>
      </c>
      <c r="E407" s="3" t="str">
        <f t="shared" ca="1" si="130"/>
        <v>IT</v>
      </c>
      <c r="F407" s="3">
        <f t="shared" ca="1" si="131"/>
        <v>6</v>
      </c>
      <c r="G407" s="3" t="str">
        <f t="shared" ca="1" si="132"/>
        <v>Doctorate</v>
      </c>
      <c r="H407" s="3">
        <f t="shared" ca="1" si="133"/>
        <v>3</v>
      </c>
      <c r="I407" s="3">
        <f t="shared" ca="1" si="134"/>
        <v>2</v>
      </c>
      <c r="J407" s="3">
        <f t="shared" ca="1" si="135"/>
        <v>15</v>
      </c>
      <c r="K407" s="3" t="str">
        <f t="shared" ca="1" si="136"/>
        <v>Kerela</v>
      </c>
      <c r="L407" s="3">
        <f t="shared" ca="1" si="137"/>
        <v>68496</v>
      </c>
      <c r="M407" s="3">
        <f t="shared" ca="1" si="138"/>
        <v>410976</v>
      </c>
      <c r="N407" s="3">
        <f t="shared" ca="1" si="139"/>
        <v>230543.0077062886</v>
      </c>
      <c r="O407" s="3">
        <f t="shared" ca="1" si="140"/>
        <v>93964.942135919628</v>
      </c>
      <c r="P407" s="3">
        <f t="shared" ca="1" si="141"/>
        <v>85554.16873596565</v>
      </c>
      <c r="Q407" s="3">
        <f t="shared" ca="1" si="142"/>
        <v>23277.661193732922</v>
      </c>
      <c r="R407" s="3">
        <f t="shared" ca="1" si="143"/>
        <v>34577.409921568193</v>
      </c>
      <c r="S407" s="3">
        <f t="shared" ca="1" si="144"/>
        <v>539518.35205748782</v>
      </c>
      <c r="T407" s="3">
        <f t="shared" ca="1" si="145"/>
        <v>339374.83763598715</v>
      </c>
      <c r="U407" s="5">
        <f t="shared" ca="1" si="146"/>
        <v>200143.51442150067</v>
      </c>
    </row>
    <row r="408" spans="1:21" x14ac:dyDescent="0.35">
      <c r="A408">
        <f t="shared" ca="1" si="128"/>
        <v>1</v>
      </c>
      <c r="B408" s="4" t="str">
        <f t="shared" ca="1" si="126"/>
        <v>M</v>
      </c>
      <c r="C408" s="3">
        <f t="shared" ca="1" si="129"/>
        <v>7</v>
      </c>
      <c r="D408" s="3">
        <f t="shared" ca="1" si="127"/>
        <v>24</v>
      </c>
      <c r="E408" s="3" t="str">
        <f t="shared" ca="1" si="130"/>
        <v>Other</v>
      </c>
      <c r="F408" s="3">
        <f t="shared" ca="1" si="131"/>
        <v>1</v>
      </c>
      <c r="G408" s="3" t="str">
        <f t="shared" ca="1" si="132"/>
        <v>Secondary</v>
      </c>
      <c r="H408" s="3">
        <f t="shared" ca="1" si="133"/>
        <v>3</v>
      </c>
      <c r="I408" s="3">
        <f t="shared" ca="1" si="134"/>
        <v>2</v>
      </c>
      <c r="J408" s="3">
        <f t="shared" ca="1" si="135"/>
        <v>12</v>
      </c>
      <c r="K408" s="3" t="str">
        <f t="shared" ca="1" si="136"/>
        <v>Himachal Pradesh</v>
      </c>
      <c r="L408" s="3">
        <f t="shared" ca="1" si="137"/>
        <v>33797</v>
      </c>
      <c r="M408" s="3">
        <f t="shared" ca="1" si="138"/>
        <v>236579</v>
      </c>
      <c r="N408" s="3">
        <f t="shared" ca="1" si="139"/>
        <v>206113.52984799954</v>
      </c>
      <c r="O408" s="3">
        <f t="shared" ca="1" si="140"/>
        <v>34844.450686973738</v>
      </c>
      <c r="P408" s="3">
        <f t="shared" ca="1" si="141"/>
        <v>7771.7947834239867</v>
      </c>
      <c r="Q408" s="3">
        <f t="shared" ca="1" si="142"/>
        <v>134.52730961747122</v>
      </c>
      <c r="R408" s="3">
        <f t="shared" ca="1" si="143"/>
        <v>27886.562858149609</v>
      </c>
      <c r="S408" s="3">
        <f t="shared" ca="1" si="144"/>
        <v>299310.01354512334</v>
      </c>
      <c r="T408" s="3">
        <f t="shared" ca="1" si="145"/>
        <v>214019.85194104098</v>
      </c>
      <c r="U408" s="5">
        <f t="shared" ca="1" si="146"/>
        <v>85290.161604082357</v>
      </c>
    </row>
    <row r="409" spans="1:21" x14ac:dyDescent="0.35">
      <c r="A409">
        <f t="shared" ca="1" si="128"/>
        <v>1</v>
      </c>
      <c r="B409" s="4" t="str">
        <f t="shared" ca="1" si="126"/>
        <v>M</v>
      </c>
      <c r="C409" s="3">
        <f t="shared" ca="1" si="129"/>
        <v>3</v>
      </c>
      <c r="D409" s="3">
        <f t="shared" ca="1" si="127"/>
        <v>24</v>
      </c>
      <c r="E409" s="3" t="str">
        <f t="shared" ca="1" si="130"/>
        <v>IT</v>
      </c>
      <c r="F409" s="3">
        <f t="shared" ca="1" si="131"/>
        <v>5</v>
      </c>
      <c r="G409" s="3" t="str">
        <f t="shared" ca="1" si="132"/>
        <v>Diploma</v>
      </c>
      <c r="H409" s="3">
        <f t="shared" ca="1" si="133"/>
        <v>0</v>
      </c>
      <c r="I409" s="3">
        <f t="shared" ca="1" si="134"/>
        <v>1</v>
      </c>
      <c r="J409" s="3">
        <f t="shared" ca="1" si="135"/>
        <v>20</v>
      </c>
      <c r="K409" s="3" t="str">
        <f t="shared" ca="1" si="136"/>
        <v>Nagaland</v>
      </c>
      <c r="L409" s="3">
        <f t="shared" ca="1" si="137"/>
        <v>31388</v>
      </c>
      <c r="M409" s="3">
        <f t="shared" ca="1" si="138"/>
        <v>282492</v>
      </c>
      <c r="N409" s="3">
        <f t="shared" ca="1" si="139"/>
        <v>198738.46112968633</v>
      </c>
      <c r="O409" s="3">
        <f t="shared" ca="1" si="140"/>
        <v>20349.724557739726</v>
      </c>
      <c r="P409" s="3">
        <f t="shared" ca="1" si="141"/>
        <v>17858.081871815648</v>
      </c>
      <c r="Q409" s="3">
        <f t="shared" ca="1" si="142"/>
        <v>379.2306920250229</v>
      </c>
      <c r="R409" s="3">
        <f t="shared" ca="1" si="143"/>
        <v>1813.788119198332</v>
      </c>
      <c r="S409" s="3">
        <f t="shared" ca="1" si="144"/>
        <v>304655.51267693809</v>
      </c>
      <c r="T409" s="3">
        <f t="shared" ca="1" si="145"/>
        <v>216975.77369352698</v>
      </c>
      <c r="U409" s="5">
        <f t="shared" ca="1" si="146"/>
        <v>87679.738983411109</v>
      </c>
    </row>
    <row r="410" spans="1:21" x14ac:dyDescent="0.35">
      <c r="A410">
        <f t="shared" ca="1" si="128"/>
        <v>2</v>
      </c>
      <c r="B410" s="4" t="str">
        <f t="shared" ca="1" si="126"/>
        <v>F</v>
      </c>
      <c r="C410" s="3">
        <f t="shared" ca="1" si="129"/>
        <v>4</v>
      </c>
      <c r="D410" s="3">
        <f t="shared" ca="1" si="127"/>
        <v>18</v>
      </c>
      <c r="E410" s="3" t="str">
        <f t="shared" ca="1" si="130"/>
        <v>Accounting</v>
      </c>
      <c r="F410" s="3">
        <f t="shared" ca="1" si="131"/>
        <v>7</v>
      </c>
      <c r="G410" s="3" t="str">
        <f t="shared" ca="1" si="132"/>
        <v>Other</v>
      </c>
      <c r="H410" s="3">
        <f t="shared" ca="1" si="133"/>
        <v>4</v>
      </c>
      <c r="I410" s="3">
        <f t="shared" ca="1" si="134"/>
        <v>1</v>
      </c>
      <c r="J410" s="3">
        <f t="shared" ca="1" si="135"/>
        <v>23</v>
      </c>
      <c r="K410" s="3" t="str">
        <f t="shared" ca="1" si="136"/>
        <v>Sikkim</v>
      </c>
      <c r="L410" s="3">
        <f t="shared" ca="1" si="137"/>
        <v>97131</v>
      </c>
      <c r="M410" s="3">
        <f t="shared" ca="1" si="138"/>
        <v>874179</v>
      </c>
      <c r="N410" s="3">
        <f t="shared" ca="1" si="139"/>
        <v>9637.1987363240569</v>
      </c>
      <c r="O410" s="3">
        <f t="shared" ca="1" si="140"/>
        <v>83606.929083038616</v>
      </c>
      <c r="P410" s="3">
        <f t="shared" ca="1" si="141"/>
        <v>75897.436839413233</v>
      </c>
      <c r="Q410" s="3">
        <f t="shared" ca="1" si="142"/>
        <v>69684.476019890411</v>
      </c>
      <c r="R410" s="3">
        <f t="shared" ca="1" si="143"/>
        <v>16464.147629304614</v>
      </c>
      <c r="S410" s="3">
        <f t="shared" ca="1" si="144"/>
        <v>974250.07671234314</v>
      </c>
      <c r="T410" s="3">
        <f t="shared" ca="1" si="145"/>
        <v>155219.11159562771</v>
      </c>
      <c r="U410" s="5">
        <f t="shared" ca="1" si="146"/>
        <v>819030.96511671541</v>
      </c>
    </row>
    <row r="411" spans="1:21" x14ac:dyDescent="0.35">
      <c r="A411">
        <f t="shared" ca="1" si="128"/>
        <v>1</v>
      </c>
      <c r="B411" s="4" t="str">
        <f t="shared" ca="1" si="126"/>
        <v>M</v>
      </c>
      <c r="C411" s="3">
        <f t="shared" ca="1" si="129"/>
        <v>6</v>
      </c>
      <c r="D411" s="3">
        <f t="shared" ca="1" si="127"/>
        <v>30</v>
      </c>
      <c r="E411" s="3" t="str">
        <f t="shared" ca="1" si="130"/>
        <v>Art</v>
      </c>
      <c r="F411" s="3">
        <f t="shared" ca="1" si="131"/>
        <v>6</v>
      </c>
      <c r="G411" s="3" t="str">
        <f t="shared" ca="1" si="132"/>
        <v>Doctorate</v>
      </c>
      <c r="H411" s="3">
        <f t="shared" ca="1" si="133"/>
        <v>3</v>
      </c>
      <c r="I411" s="3">
        <f t="shared" ca="1" si="134"/>
        <v>1</v>
      </c>
      <c r="J411" s="3">
        <f t="shared" ca="1" si="135"/>
        <v>13</v>
      </c>
      <c r="K411" s="3" t="str">
        <f t="shared" ca="1" si="136"/>
        <v>Jharkhand</v>
      </c>
      <c r="L411" s="3">
        <f t="shared" ca="1" si="137"/>
        <v>55016</v>
      </c>
      <c r="M411" s="3">
        <f t="shared" ca="1" si="138"/>
        <v>385112</v>
      </c>
      <c r="N411" s="3">
        <f t="shared" ca="1" si="139"/>
        <v>161090.98522502591</v>
      </c>
      <c r="O411" s="3">
        <f t="shared" ca="1" si="140"/>
        <v>36343.413501095711</v>
      </c>
      <c r="P411" s="3">
        <f t="shared" ca="1" si="141"/>
        <v>14904.924692044848</v>
      </c>
      <c r="Q411" s="3">
        <f t="shared" ca="1" si="142"/>
        <v>17656.64107576885</v>
      </c>
      <c r="R411" s="3">
        <f t="shared" ca="1" si="143"/>
        <v>37911.014854813751</v>
      </c>
      <c r="S411" s="3">
        <f t="shared" ca="1" si="144"/>
        <v>459366.42835590948</v>
      </c>
      <c r="T411" s="3">
        <f t="shared" ca="1" si="145"/>
        <v>193652.55099283962</v>
      </c>
      <c r="U411" s="5">
        <f t="shared" ca="1" si="146"/>
        <v>265713.87736306986</v>
      </c>
    </row>
    <row r="412" spans="1:21" x14ac:dyDescent="0.35">
      <c r="A412">
        <f t="shared" ca="1" si="128"/>
        <v>2</v>
      </c>
      <c r="B412" s="4" t="str">
        <f t="shared" ca="1" si="126"/>
        <v>F</v>
      </c>
      <c r="C412" s="3">
        <f t="shared" ca="1" si="129"/>
        <v>3</v>
      </c>
      <c r="D412" s="3">
        <f t="shared" ca="1" si="127"/>
        <v>32</v>
      </c>
      <c r="E412" s="3" t="str">
        <f t="shared" ca="1" si="130"/>
        <v>IT</v>
      </c>
      <c r="F412" s="3">
        <f t="shared" ca="1" si="131"/>
        <v>3</v>
      </c>
      <c r="G412" s="3" t="str">
        <f t="shared" ca="1" si="132"/>
        <v>UG</v>
      </c>
      <c r="H412" s="3">
        <f t="shared" ca="1" si="133"/>
        <v>4</v>
      </c>
      <c r="I412" s="3">
        <f t="shared" ca="1" si="134"/>
        <v>1</v>
      </c>
      <c r="J412" s="3">
        <f t="shared" ca="1" si="135"/>
        <v>24</v>
      </c>
      <c r="K412" s="3" t="str">
        <f t="shared" ca="1" si="136"/>
        <v>Tamil Nadu</v>
      </c>
      <c r="L412" s="3">
        <f t="shared" ca="1" si="137"/>
        <v>80255</v>
      </c>
      <c r="M412" s="3">
        <f t="shared" ca="1" si="138"/>
        <v>401275</v>
      </c>
      <c r="N412" s="3">
        <f t="shared" ca="1" si="139"/>
        <v>125245.98599757686</v>
      </c>
      <c r="O412" s="3">
        <f t="shared" ca="1" si="140"/>
        <v>28222.90223543331</v>
      </c>
      <c r="P412" s="3">
        <f t="shared" ca="1" si="141"/>
        <v>6399.9165060797386</v>
      </c>
      <c r="Q412" s="3">
        <f t="shared" ca="1" si="142"/>
        <v>48696.764074136147</v>
      </c>
      <c r="R412" s="3">
        <f t="shared" ca="1" si="143"/>
        <v>58341.112443943421</v>
      </c>
      <c r="S412" s="3">
        <f t="shared" ca="1" si="144"/>
        <v>487839.01467937673</v>
      </c>
      <c r="T412" s="3">
        <f t="shared" ca="1" si="145"/>
        <v>180342.66657779276</v>
      </c>
      <c r="U412" s="5">
        <f t="shared" ca="1" si="146"/>
        <v>307496.34810158401</v>
      </c>
    </row>
    <row r="413" spans="1:21" x14ac:dyDescent="0.35">
      <c r="A413">
        <f t="shared" ca="1" si="128"/>
        <v>1</v>
      </c>
      <c r="B413" s="4" t="str">
        <f t="shared" ca="1" si="126"/>
        <v>M</v>
      </c>
      <c r="C413" s="3">
        <f t="shared" ca="1" si="129"/>
        <v>2</v>
      </c>
      <c r="D413" s="3">
        <f t="shared" ca="1" si="127"/>
        <v>40</v>
      </c>
      <c r="E413" s="3" t="str">
        <f t="shared" ca="1" si="130"/>
        <v>Healthcare</v>
      </c>
      <c r="F413" s="3">
        <f t="shared" ca="1" si="131"/>
        <v>2</v>
      </c>
      <c r="G413" s="3" t="str">
        <f t="shared" ca="1" si="132"/>
        <v>Senior Secondary</v>
      </c>
      <c r="H413" s="3">
        <f t="shared" ca="1" si="133"/>
        <v>2</v>
      </c>
      <c r="I413" s="3">
        <f t="shared" ca="1" si="134"/>
        <v>0</v>
      </c>
      <c r="J413" s="3">
        <f t="shared" ca="1" si="135"/>
        <v>4</v>
      </c>
      <c r="K413" s="3" t="str">
        <f t="shared" ca="1" si="136"/>
        <v>Maharashtra</v>
      </c>
      <c r="L413" s="3">
        <f t="shared" ca="1" si="137"/>
        <v>47410</v>
      </c>
      <c r="M413" s="3">
        <f t="shared" ca="1" si="138"/>
        <v>426690</v>
      </c>
      <c r="N413" s="3">
        <f t="shared" ca="1" si="139"/>
        <v>257198.75975944535</v>
      </c>
      <c r="O413" s="3">
        <f t="shared" ca="1" si="140"/>
        <v>0</v>
      </c>
      <c r="P413" s="3">
        <f t="shared" ca="1" si="141"/>
        <v>0</v>
      </c>
      <c r="Q413" s="3">
        <f t="shared" ca="1" si="142"/>
        <v>15163.127418808655</v>
      </c>
      <c r="R413" s="3">
        <f t="shared" ca="1" si="143"/>
        <v>37237.810372655513</v>
      </c>
      <c r="S413" s="3">
        <f t="shared" ca="1" si="144"/>
        <v>463927.81037265551</v>
      </c>
      <c r="T413" s="3">
        <f t="shared" ca="1" si="145"/>
        <v>272361.88717825402</v>
      </c>
      <c r="U413" s="5">
        <f t="shared" ca="1" si="146"/>
        <v>191565.92319440149</v>
      </c>
    </row>
    <row r="414" spans="1:21" x14ac:dyDescent="0.35">
      <c r="A414">
        <f t="shared" ca="1" si="128"/>
        <v>1</v>
      </c>
      <c r="B414" s="4" t="str">
        <f t="shared" ca="1" si="126"/>
        <v>M</v>
      </c>
      <c r="C414" s="3">
        <f t="shared" ca="1" si="129"/>
        <v>4</v>
      </c>
      <c r="D414" s="3">
        <f t="shared" ca="1" si="127"/>
        <v>40</v>
      </c>
      <c r="E414" s="3" t="str">
        <f t="shared" ca="1" si="130"/>
        <v>Accounting</v>
      </c>
      <c r="F414" s="3">
        <f t="shared" ca="1" si="131"/>
        <v>4</v>
      </c>
      <c r="G414" s="3" t="str">
        <f t="shared" ca="1" si="132"/>
        <v>PG</v>
      </c>
      <c r="H414" s="3">
        <f t="shared" ca="1" si="133"/>
        <v>1</v>
      </c>
      <c r="I414" s="3">
        <f t="shared" ca="1" si="134"/>
        <v>1</v>
      </c>
      <c r="J414" s="3">
        <f t="shared" ca="1" si="135"/>
        <v>22</v>
      </c>
      <c r="K414" s="3" t="str">
        <f t="shared" ca="1" si="136"/>
        <v>Rajasthan</v>
      </c>
      <c r="L414" s="3">
        <f t="shared" ca="1" si="137"/>
        <v>29733</v>
      </c>
      <c r="M414" s="3">
        <f t="shared" ca="1" si="138"/>
        <v>148665</v>
      </c>
      <c r="N414" s="3">
        <f t="shared" ca="1" si="139"/>
        <v>506.50706497867867</v>
      </c>
      <c r="O414" s="3">
        <f t="shared" ca="1" si="140"/>
        <v>16025.941091333603</v>
      </c>
      <c r="P414" s="3">
        <f t="shared" ca="1" si="141"/>
        <v>12257.499712635137</v>
      </c>
      <c r="Q414" s="3">
        <f t="shared" ca="1" si="142"/>
        <v>25880.673195856816</v>
      </c>
      <c r="R414" s="3">
        <f t="shared" ca="1" si="143"/>
        <v>849.3725452447618</v>
      </c>
      <c r="S414" s="3">
        <f t="shared" ca="1" si="144"/>
        <v>165540.31363657836</v>
      </c>
      <c r="T414" s="3">
        <f t="shared" ca="1" si="145"/>
        <v>38644.679973470629</v>
      </c>
      <c r="U414" s="5">
        <f t="shared" ca="1" si="146"/>
        <v>126895.63366310773</v>
      </c>
    </row>
    <row r="415" spans="1:21" x14ac:dyDescent="0.35">
      <c r="A415">
        <f t="shared" ca="1" si="128"/>
        <v>1</v>
      </c>
      <c r="B415" s="4" t="str">
        <f t="shared" ca="1" si="126"/>
        <v>M</v>
      </c>
      <c r="C415" s="3">
        <f t="shared" ca="1" si="129"/>
        <v>7</v>
      </c>
      <c r="D415" s="3">
        <f t="shared" ca="1" si="127"/>
        <v>24</v>
      </c>
      <c r="E415" s="3" t="str">
        <f t="shared" ca="1" si="130"/>
        <v>Other</v>
      </c>
      <c r="F415" s="3">
        <f t="shared" ca="1" si="131"/>
        <v>5</v>
      </c>
      <c r="G415" s="3" t="str">
        <f t="shared" ca="1" si="132"/>
        <v>Diploma</v>
      </c>
      <c r="H415" s="3">
        <f t="shared" ca="1" si="133"/>
        <v>2</v>
      </c>
      <c r="I415" s="3">
        <f t="shared" ca="1" si="134"/>
        <v>3</v>
      </c>
      <c r="J415" s="3">
        <f t="shared" ca="1" si="135"/>
        <v>20</v>
      </c>
      <c r="K415" s="3" t="str">
        <f t="shared" ca="1" si="136"/>
        <v>Nagaland</v>
      </c>
      <c r="L415" s="3">
        <f t="shared" ca="1" si="137"/>
        <v>34175</v>
      </c>
      <c r="M415" s="3">
        <f t="shared" ca="1" si="138"/>
        <v>307575</v>
      </c>
      <c r="N415" s="3">
        <f t="shared" ca="1" si="139"/>
        <v>218845.33493269424</v>
      </c>
      <c r="O415" s="3">
        <f t="shared" ca="1" si="140"/>
        <v>9978.3227520187065</v>
      </c>
      <c r="P415" s="3">
        <f t="shared" ca="1" si="141"/>
        <v>3736.0237619506825</v>
      </c>
      <c r="Q415" s="3">
        <f t="shared" ca="1" si="142"/>
        <v>27608.803458690607</v>
      </c>
      <c r="R415" s="3">
        <f t="shared" ca="1" si="143"/>
        <v>31477.820782918461</v>
      </c>
      <c r="S415" s="3">
        <f t="shared" ca="1" si="144"/>
        <v>349031.14353493717</v>
      </c>
      <c r="T415" s="3">
        <f t="shared" ca="1" si="145"/>
        <v>250190.16215333555</v>
      </c>
      <c r="U415" s="5">
        <f t="shared" ca="1" si="146"/>
        <v>98840.981381601625</v>
      </c>
    </row>
    <row r="416" spans="1:21" x14ac:dyDescent="0.35">
      <c r="A416">
        <f t="shared" ca="1" si="128"/>
        <v>1</v>
      </c>
      <c r="B416" s="4" t="str">
        <f t="shared" ca="1" si="126"/>
        <v>M</v>
      </c>
      <c r="C416" s="3">
        <f t="shared" ca="1" si="129"/>
        <v>6</v>
      </c>
      <c r="D416" s="3">
        <f t="shared" ca="1" si="127"/>
        <v>25</v>
      </c>
      <c r="E416" s="3" t="str">
        <f t="shared" ca="1" si="130"/>
        <v>Art</v>
      </c>
      <c r="F416" s="3">
        <f t="shared" ca="1" si="131"/>
        <v>4</v>
      </c>
      <c r="G416" s="3" t="str">
        <f t="shared" ca="1" si="132"/>
        <v>PG</v>
      </c>
      <c r="H416" s="3">
        <f t="shared" ca="1" si="133"/>
        <v>1</v>
      </c>
      <c r="I416" s="3">
        <f t="shared" ca="1" si="134"/>
        <v>3</v>
      </c>
      <c r="J416" s="3">
        <f t="shared" ca="1" si="135"/>
        <v>22</v>
      </c>
      <c r="K416" s="3" t="str">
        <f t="shared" ca="1" si="136"/>
        <v>Rajasthan</v>
      </c>
      <c r="L416" s="3">
        <f t="shared" ca="1" si="137"/>
        <v>35083</v>
      </c>
      <c r="M416" s="3">
        <f t="shared" ca="1" si="138"/>
        <v>315747</v>
      </c>
      <c r="N416" s="3">
        <f t="shared" ca="1" si="139"/>
        <v>214581.14621981196</v>
      </c>
      <c r="O416" s="3">
        <f t="shared" ca="1" si="140"/>
        <v>18895.742927710271</v>
      </c>
      <c r="P416" s="3">
        <f t="shared" ca="1" si="141"/>
        <v>12177.407121008913</v>
      </c>
      <c r="Q416" s="3">
        <f t="shared" ca="1" si="142"/>
        <v>14853.628942049962</v>
      </c>
      <c r="R416" s="3">
        <f t="shared" ca="1" si="143"/>
        <v>21794.986289821121</v>
      </c>
      <c r="S416" s="3">
        <f t="shared" ca="1" si="144"/>
        <v>356437.72921753139</v>
      </c>
      <c r="T416" s="3">
        <f t="shared" ca="1" si="145"/>
        <v>241612.18228287081</v>
      </c>
      <c r="U416" s="5">
        <f t="shared" ca="1" si="146"/>
        <v>114825.54693466058</v>
      </c>
    </row>
    <row r="417" spans="1:21" x14ac:dyDescent="0.35">
      <c r="A417">
        <f t="shared" ca="1" si="128"/>
        <v>2</v>
      </c>
      <c r="B417" s="4" t="str">
        <f t="shared" ca="1" si="126"/>
        <v>F</v>
      </c>
      <c r="C417" s="3">
        <f t="shared" ca="1" si="129"/>
        <v>6</v>
      </c>
      <c r="D417" s="3">
        <f t="shared" ca="1" si="127"/>
        <v>44</v>
      </c>
      <c r="E417" s="3" t="str">
        <f t="shared" ca="1" si="130"/>
        <v>Art</v>
      </c>
      <c r="F417" s="3">
        <f t="shared" ca="1" si="131"/>
        <v>3</v>
      </c>
      <c r="G417" s="3" t="str">
        <f t="shared" ca="1" si="132"/>
        <v>UG</v>
      </c>
      <c r="H417" s="3">
        <f t="shared" ca="1" si="133"/>
        <v>3</v>
      </c>
      <c r="I417" s="3">
        <f t="shared" ca="1" si="134"/>
        <v>0</v>
      </c>
      <c r="J417" s="3">
        <f t="shared" ca="1" si="135"/>
        <v>25</v>
      </c>
      <c r="K417" s="3" t="str">
        <f t="shared" ca="1" si="136"/>
        <v>Telangana</v>
      </c>
      <c r="L417" s="3">
        <f t="shared" ca="1" si="137"/>
        <v>29274</v>
      </c>
      <c r="M417" s="3">
        <f t="shared" ca="1" si="138"/>
        <v>204918</v>
      </c>
      <c r="N417" s="3">
        <f t="shared" ca="1" si="139"/>
        <v>174923.35558019203</v>
      </c>
      <c r="O417" s="3">
        <f t="shared" ca="1" si="140"/>
        <v>0</v>
      </c>
      <c r="P417" s="3">
        <f t="shared" ca="1" si="141"/>
        <v>0</v>
      </c>
      <c r="Q417" s="3">
        <f t="shared" ca="1" si="142"/>
        <v>18720.12220560827</v>
      </c>
      <c r="R417" s="3">
        <f t="shared" ca="1" si="143"/>
        <v>21391.737885217444</v>
      </c>
      <c r="S417" s="3">
        <f t="shared" ca="1" si="144"/>
        <v>226309.73788521744</v>
      </c>
      <c r="T417" s="3">
        <f t="shared" ca="1" si="145"/>
        <v>193643.47778580029</v>
      </c>
      <c r="U417" s="5">
        <f t="shared" ca="1" si="146"/>
        <v>32666.260099417152</v>
      </c>
    </row>
    <row r="418" spans="1:21" x14ac:dyDescent="0.35">
      <c r="A418">
        <f t="shared" ca="1" si="128"/>
        <v>1</v>
      </c>
      <c r="B418" s="4" t="str">
        <f t="shared" ca="1" si="126"/>
        <v>M</v>
      </c>
      <c r="C418" s="3">
        <f t="shared" ca="1" si="129"/>
        <v>5</v>
      </c>
      <c r="D418" s="3">
        <f t="shared" ca="1" si="127"/>
        <v>19</v>
      </c>
      <c r="E418" s="3" t="str">
        <f t="shared" ca="1" si="130"/>
        <v>Research</v>
      </c>
      <c r="F418" s="3">
        <f t="shared" ca="1" si="131"/>
        <v>3</v>
      </c>
      <c r="G418" s="3" t="str">
        <f t="shared" ca="1" si="132"/>
        <v>UG</v>
      </c>
      <c r="H418" s="3">
        <f t="shared" ca="1" si="133"/>
        <v>4</v>
      </c>
      <c r="I418" s="3">
        <f t="shared" ca="1" si="134"/>
        <v>2</v>
      </c>
      <c r="J418" s="3">
        <f t="shared" ca="1" si="135"/>
        <v>16</v>
      </c>
      <c r="K418" s="3" t="str">
        <f t="shared" ca="1" si="136"/>
        <v>Madhya Pradesh</v>
      </c>
      <c r="L418" s="3">
        <f t="shared" ca="1" si="137"/>
        <v>76799</v>
      </c>
      <c r="M418" s="3">
        <f t="shared" ca="1" si="138"/>
        <v>614392</v>
      </c>
      <c r="N418" s="3">
        <f t="shared" ca="1" si="139"/>
        <v>164478.01515301783</v>
      </c>
      <c r="O418" s="3">
        <f t="shared" ca="1" si="140"/>
        <v>152750.96475493052</v>
      </c>
      <c r="P418" s="3">
        <f t="shared" ca="1" si="141"/>
        <v>62175.187064178623</v>
      </c>
      <c r="Q418" s="3">
        <f t="shared" ca="1" si="142"/>
        <v>4822.5186893794944</v>
      </c>
      <c r="R418" s="3">
        <f t="shared" ca="1" si="143"/>
        <v>62921.067862729789</v>
      </c>
      <c r="S418" s="3">
        <f t="shared" ca="1" si="144"/>
        <v>830064.03261766024</v>
      </c>
      <c r="T418" s="3">
        <f t="shared" ca="1" si="145"/>
        <v>231475.72090657597</v>
      </c>
      <c r="U418" s="5">
        <f t="shared" ca="1" si="146"/>
        <v>598588.31171108433</v>
      </c>
    </row>
    <row r="419" spans="1:21" x14ac:dyDescent="0.35">
      <c r="A419">
        <f t="shared" ca="1" si="128"/>
        <v>2</v>
      </c>
      <c r="B419" s="4" t="str">
        <f t="shared" ca="1" si="126"/>
        <v>F</v>
      </c>
      <c r="C419" s="3">
        <f t="shared" ca="1" si="129"/>
        <v>1</v>
      </c>
      <c r="D419" s="3">
        <f t="shared" ca="1" si="127"/>
        <v>32</v>
      </c>
      <c r="E419" s="3" t="str">
        <f t="shared" ca="1" si="130"/>
        <v>Engineering</v>
      </c>
      <c r="F419" s="3">
        <f t="shared" ca="1" si="131"/>
        <v>4</v>
      </c>
      <c r="G419" s="3" t="str">
        <f t="shared" ca="1" si="132"/>
        <v>PG</v>
      </c>
      <c r="H419" s="3">
        <f t="shared" ca="1" si="133"/>
        <v>4</v>
      </c>
      <c r="I419" s="3">
        <f t="shared" ca="1" si="134"/>
        <v>0</v>
      </c>
      <c r="J419" s="3">
        <f t="shared" ca="1" si="135"/>
        <v>17</v>
      </c>
      <c r="K419" s="3" t="str">
        <f t="shared" ca="1" si="136"/>
        <v xml:space="preserve">Manipur </v>
      </c>
      <c r="L419" s="3">
        <f t="shared" ca="1" si="137"/>
        <v>45162</v>
      </c>
      <c r="M419" s="3">
        <f t="shared" ca="1" si="138"/>
        <v>316134</v>
      </c>
      <c r="N419" s="3">
        <f t="shared" ca="1" si="139"/>
        <v>270066.57103094849</v>
      </c>
      <c r="O419" s="3">
        <f t="shared" ca="1" si="140"/>
        <v>0</v>
      </c>
      <c r="P419" s="3">
        <f t="shared" ca="1" si="141"/>
        <v>0</v>
      </c>
      <c r="Q419" s="3">
        <f t="shared" ca="1" si="142"/>
        <v>4351.971442420353</v>
      </c>
      <c r="R419" s="3">
        <f t="shared" ca="1" si="143"/>
        <v>5332.351174547448</v>
      </c>
      <c r="S419" s="3">
        <f t="shared" ca="1" si="144"/>
        <v>321466.35117454745</v>
      </c>
      <c r="T419" s="3">
        <f t="shared" ca="1" si="145"/>
        <v>274418.54247336881</v>
      </c>
      <c r="U419" s="5">
        <f t="shared" ca="1" si="146"/>
        <v>47047.808701178641</v>
      </c>
    </row>
    <row r="420" spans="1:21" x14ac:dyDescent="0.35">
      <c r="A420">
        <f t="shared" ca="1" si="128"/>
        <v>2</v>
      </c>
      <c r="B420" s="4" t="str">
        <f t="shared" ca="1" si="126"/>
        <v>F</v>
      </c>
      <c r="C420" s="3">
        <f t="shared" ca="1" si="129"/>
        <v>3</v>
      </c>
      <c r="D420" s="3">
        <f t="shared" ca="1" si="127"/>
        <v>28</v>
      </c>
      <c r="E420" s="3" t="str">
        <f t="shared" ca="1" si="130"/>
        <v>IT</v>
      </c>
      <c r="F420" s="3">
        <f t="shared" ca="1" si="131"/>
        <v>6</v>
      </c>
      <c r="G420" s="3" t="str">
        <f t="shared" ca="1" si="132"/>
        <v>Doctorate</v>
      </c>
      <c r="H420" s="3">
        <f t="shared" ca="1" si="133"/>
        <v>4</v>
      </c>
      <c r="I420" s="3">
        <f t="shared" ca="1" si="134"/>
        <v>3</v>
      </c>
      <c r="J420" s="3">
        <f t="shared" ca="1" si="135"/>
        <v>8</v>
      </c>
      <c r="K420" s="3" t="str">
        <f t="shared" ca="1" si="136"/>
        <v>Bihar</v>
      </c>
      <c r="L420" s="3">
        <f t="shared" ca="1" si="137"/>
        <v>76731</v>
      </c>
      <c r="M420" s="3">
        <f t="shared" ca="1" si="138"/>
        <v>537117</v>
      </c>
      <c r="N420" s="3">
        <f t="shared" ca="1" si="139"/>
        <v>72180.330585515505</v>
      </c>
      <c r="O420" s="3">
        <f t="shared" ca="1" si="140"/>
        <v>17157.116322877158</v>
      </c>
      <c r="P420" s="3">
        <f t="shared" ca="1" si="141"/>
        <v>14187.386228198497</v>
      </c>
      <c r="Q420" s="3">
        <f t="shared" ca="1" si="142"/>
        <v>63837.127261167057</v>
      </c>
      <c r="R420" s="3">
        <f t="shared" ca="1" si="143"/>
        <v>61840.34679957098</v>
      </c>
      <c r="S420" s="3">
        <f t="shared" ca="1" si="144"/>
        <v>616114.46312244807</v>
      </c>
      <c r="T420" s="3">
        <f t="shared" ca="1" si="145"/>
        <v>150204.84407488105</v>
      </c>
      <c r="U420" s="5">
        <f t="shared" ca="1" si="146"/>
        <v>465909.61904756702</v>
      </c>
    </row>
    <row r="421" spans="1:21" x14ac:dyDescent="0.35">
      <c r="A421">
        <f t="shared" ca="1" si="128"/>
        <v>2</v>
      </c>
      <c r="B421" s="4" t="str">
        <f t="shared" ca="1" si="126"/>
        <v>F</v>
      </c>
      <c r="C421" s="3">
        <f t="shared" ca="1" si="129"/>
        <v>6</v>
      </c>
      <c r="D421" s="3">
        <f t="shared" ca="1" si="127"/>
        <v>22</v>
      </c>
      <c r="E421" s="3" t="str">
        <f t="shared" ca="1" si="130"/>
        <v>Art</v>
      </c>
      <c r="F421" s="3">
        <f t="shared" ca="1" si="131"/>
        <v>4</v>
      </c>
      <c r="G421" s="3" t="str">
        <f t="shared" ca="1" si="132"/>
        <v>PG</v>
      </c>
      <c r="H421" s="3">
        <f t="shared" ca="1" si="133"/>
        <v>1</v>
      </c>
      <c r="I421" s="3">
        <f t="shared" ca="1" si="134"/>
        <v>2</v>
      </c>
      <c r="J421" s="3">
        <f t="shared" ca="1" si="135"/>
        <v>28</v>
      </c>
      <c r="K421" s="3" t="str">
        <f t="shared" ca="1" si="136"/>
        <v>West Bengal</v>
      </c>
      <c r="L421" s="3">
        <f t="shared" ca="1" si="137"/>
        <v>72579</v>
      </c>
      <c r="M421" s="3">
        <f t="shared" ca="1" si="138"/>
        <v>653211</v>
      </c>
      <c r="N421" s="3">
        <f t="shared" ca="1" si="139"/>
        <v>72712.411578131301</v>
      </c>
      <c r="O421" s="3">
        <f t="shared" ca="1" si="140"/>
        <v>97581.642428381107</v>
      </c>
      <c r="P421" s="3">
        <f t="shared" ca="1" si="141"/>
        <v>23309.93739227633</v>
      </c>
      <c r="Q421" s="3">
        <f t="shared" ca="1" si="142"/>
        <v>31247.988718541117</v>
      </c>
      <c r="R421" s="3">
        <f t="shared" ca="1" si="143"/>
        <v>38836.927242583144</v>
      </c>
      <c r="S421" s="3">
        <f t="shared" ca="1" si="144"/>
        <v>789629.56967096427</v>
      </c>
      <c r="T421" s="3">
        <f t="shared" ca="1" si="145"/>
        <v>127270.33768894876</v>
      </c>
      <c r="U421" s="5">
        <f t="shared" ca="1" si="146"/>
        <v>662359.23198201554</v>
      </c>
    </row>
    <row r="422" spans="1:21" x14ac:dyDescent="0.35">
      <c r="A422">
        <f t="shared" ca="1" si="128"/>
        <v>2</v>
      </c>
      <c r="B422" s="4" t="str">
        <f t="shared" ca="1" si="126"/>
        <v>F</v>
      </c>
      <c r="C422" s="3">
        <f t="shared" ca="1" si="129"/>
        <v>5</v>
      </c>
      <c r="D422" s="3">
        <f t="shared" ca="1" si="127"/>
        <v>39</v>
      </c>
      <c r="E422" s="3" t="str">
        <f t="shared" ca="1" si="130"/>
        <v>Research</v>
      </c>
      <c r="F422" s="3">
        <f t="shared" ca="1" si="131"/>
        <v>1</v>
      </c>
      <c r="G422" s="3" t="str">
        <f t="shared" ca="1" si="132"/>
        <v>Secondary</v>
      </c>
      <c r="H422" s="3">
        <f t="shared" ca="1" si="133"/>
        <v>2</v>
      </c>
      <c r="I422" s="3">
        <f t="shared" ca="1" si="134"/>
        <v>2</v>
      </c>
      <c r="J422" s="3">
        <f t="shared" ca="1" si="135"/>
        <v>22</v>
      </c>
      <c r="K422" s="3" t="str">
        <f t="shared" ca="1" si="136"/>
        <v>Rajasthan</v>
      </c>
      <c r="L422" s="3">
        <f t="shared" ca="1" si="137"/>
        <v>35282</v>
      </c>
      <c r="M422" s="3">
        <f t="shared" ca="1" si="138"/>
        <v>282256</v>
      </c>
      <c r="N422" s="3">
        <f t="shared" ca="1" si="139"/>
        <v>45688.184420333258</v>
      </c>
      <c r="O422" s="3">
        <f t="shared" ca="1" si="140"/>
        <v>36741.643178610626</v>
      </c>
      <c r="P422" s="3">
        <f t="shared" ca="1" si="141"/>
        <v>2921.5184660614577</v>
      </c>
      <c r="Q422" s="3">
        <f t="shared" ca="1" si="142"/>
        <v>28359.766367014981</v>
      </c>
      <c r="R422" s="3">
        <f t="shared" ca="1" si="143"/>
        <v>15100.651513326953</v>
      </c>
      <c r="S422" s="3">
        <f t="shared" ca="1" si="144"/>
        <v>334098.29469193757</v>
      </c>
      <c r="T422" s="3">
        <f t="shared" ca="1" si="145"/>
        <v>76969.469253409698</v>
      </c>
      <c r="U422" s="5">
        <f t="shared" ca="1" si="146"/>
        <v>257128.82543852786</v>
      </c>
    </row>
    <row r="423" spans="1:21" x14ac:dyDescent="0.35">
      <c r="A423">
        <f t="shared" ca="1" si="128"/>
        <v>1</v>
      </c>
      <c r="B423" s="4" t="str">
        <f t="shared" ca="1" si="126"/>
        <v>M</v>
      </c>
      <c r="C423" s="3">
        <f t="shared" ca="1" si="129"/>
        <v>6</v>
      </c>
      <c r="D423" s="3">
        <f t="shared" ca="1" si="127"/>
        <v>38</v>
      </c>
      <c r="E423" s="3" t="str">
        <f t="shared" ca="1" si="130"/>
        <v>Art</v>
      </c>
      <c r="F423" s="3">
        <f t="shared" ca="1" si="131"/>
        <v>5</v>
      </c>
      <c r="G423" s="3" t="str">
        <f t="shared" ca="1" si="132"/>
        <v>Diploma</v>
      </c>
      <c r="H423" s="3">
        <f t="shared" ca="1" si="133"/>
        <v>1</v>
      </c>
      <c r="I423" s="3">
        <f t="shared" ca="1" si="134"/>
        <v>0</v>
      </c>
      <c r="J423" s="3">
        <f t="shared" ca="1" si="135"/>
        <v>27</v>
      </c>
      <c r="K423" s="3" t="str">
        <f t="shared" ca="1" si="136"/>
        <v>Uttrakhand</v>
      </c>
      <c r="L423" s="3">
        <f t="shared" ca="1" si="137"/>
        <v>91242</v>
      </c>
      <c r="M423" s="3">
        <f t="shared" ca="1" si="138"/>
        <v>456210</v>
      </c>
      <c r="N423" s="3">
        <f t="shared" ca="1" si="139"/>
        <v>197922.99681421265</v>
      </c>
      <c r="O423" s="3">
        <f t="shared" ca="1" si="140"/>
        <v>0</v>
      </c>
      <c r="P423" s="3">
        <f t="shared" ca="1" si="141"/>
        <v>0</v>
      </c>
      <c r="Q423" s="3">
        <f t="shared" ca="1" si="142"/>
        <v>84906.373576955535</v>
      </c>
      <c r="R423" s="3">
        <f t="shared" ca="1" si="143"/>
        <v>64135.860820684087</v>
      </c>
      <c r="S423" s="3">
        <f t="shared" ca="1" si="144"/>
        <v>520345.86082068412</v>
      </c>
      <c r="T423" s="3">
        <f t="shared" ca="1" si="145"/>
        <v>282829.37039116817</v>
      </c>
      <c r="U423" s="5">
        <f t="shared" ca="1" si="146"/>
        <v>237516.49042951595</v>
      </c>
    </row>
    <row r="424" spans="1:21" x14ac:dyDescent="0.35">
      <c r="A424">
        <f t="shared" ca="1" si="128"/>
        <v>2</v>
      </c>
      <c r="B424" s="4" t="str">
        <f t="shared" ca="1" si="126"/>
        <v>F</v>
      </c>
      <c r="C424" s="3">
        <f t="shared" ca="1" si="129"/>
        <v>1</v>
      </c>
      <c r="D424" s="3">
        <f t="shared" ca="1" si="127"/>
        <v>20</v>
      </c>
      <c r="E424" s="3" t="str">
        <f t="shared" ca="1" si="130"/>
        <v>Engineering</v>
      </c>
      <c r="F424" s="3">
        <f t="shared" ca="1" si="131"/>
        <v>3</v>
      </c>
      <c r="G424" s="3" t="str">
        <f t="shared" ca="1" si="132"/>
        <v>UG</v>
      </c>
      <c r="H424" s="3">
        <f t="shared" ca="1" si="133"/>
        <v>3</v>
      </c>
      <c r="I424" s="3">
        <f t="shared" ca="1" si="134"/>
        <v>0</v>
      </c>
      <c r="J424" s="3">
        <f t="shared" ca="1" si="135"/>
        <v>19</v>
      </c>
      <c r="K424" s="3" t="str">
        <f t="shared" ca="1" si="136"/>
        <v>Mizoram</v>
      </c>
      <c r="L424" s="3">
        <f t="shared" ca="1" si="137"/>
        <v>36982</v>
      </c>
      <c r="M424" s="3">
        <f t="shared" ca="1" si="138"/>
        <v>221892</v>
      </c>
      <c r="N424" s="3">
        <f t="shared" ca="1" si="139"/>
        <v>153474.38834735175</v>
      </c>
      <c r="O424" s="3">
        <f t="shared" ca="1" si="140"/>
        <v>0</v>
      </c>
      <c r="P424" s="3">
        <f t="shared" ca="1" si="141"/>
        <v>0</v>
      </c>
      <c r="Q424" s="3">
        <f t="shared" ca="1" si="142"/>
        <v>29608.049716741039</v>
      </c>
      <c r="R424" s="3">
        <f t="shared" ca="1" si="143"/>
        <v>8572.7201213069129</v>
      </c>
      <c r="S424" s="3">
        <f t="shared" ca="1" si="144"/>
        <v>230464.72012130692</v>
      </c>
      <c r="T424" s="3">
        <f t="shared" ca="1" si="145"/>
        <v>183082.4380640928</v>
      </c>
      <c r="U424" s="5">
        <f t="shared" ca="1" si="146"/>
        <v>47382.282057214121</v>
      </c>
    </row>
    <row r="425" spans="1:21" x14ac:dyDescent="0.35">
      <c r="A425">
        <f t="shared" ca="1" si="128"/>
        <v>2</v>
      </c>
      <c r="B425" s="4" t="str">
        <f t="shared" ca="1" si="126"/>
        <v>F</v>
      </c>
      <c r="C425" s="3">
        <f t="shared" ca="1" si="129"/>
        <v>2</v>
      </c>
      <c r="D425" s="3">
        <f t="shared" ca="1" si="127"/>
        <v>32</v>
      </c>
      <c r="E425" s="3" t="str">
        <f t="shared" ca="1" si="130"/>
        <v>Healthcare</v>
      </c>
      <c r="F425" s="3">
        <f t="shared" ca="1" si="131"/>
        <v>7</v>
      </c>
      <c r="G425" s="3" t="str">
        <f t="shared" ca="1" si="132"/>
        <v>Other</v>
      </c>
      <c r="H425" s="3">
        <f t="shared" ca="1" si="133"/>
        <v>2</v>
      </c>
      <c r="I425" s="3">
        <f t="shared" ca="1" si="134"/>
        <v>0</v>
      </c>
      <c r="J425" s="3">
        <f t="shared" ca="1" si="135"/>
        <v>12</v>
      </c>
      <c r="K425" s="3" t="str">
        <f t="shared" ca="1" si="136"/>
        <v>Himachal Pradesh</v>
      </c>
      <c r="L425" s="3">
        <f t="shared" ca="1" si="137"/>
        <v>28063</v>
      </c>
      <c r="M425" s="3">
        <f t="shared" ca="1" si="138"/>
        <v>196441</v>
      </c>
      <c r="N425" s="3">
        <f t="shared" ca="1" si="139"/>
        <v>181576.87107210013</v>
      </c>
      <c r="O425" s="3">
        <f t="shared" ca="1" si="140"/>
        <v>0</v>
      </c>
      <c r="P425" s="3">
        <f t="shared" ca="1" si="141"/>
        <v>0</v>
      </c>
      <c r="Q425" s="3">
        <f t="shared" ca="1" si="142"/>
        <v>17985.798089453107</v>
      </c>
      <c r="R425" s="3">
        <f t="shared" ca="1" si="143"/>
        <v>18471.961987208702</v>
      </c>
      <c r="S425" s="3">
        <f t="shared" ca="1" si="144"/>
        <v>214912.96198720869</v>
      </c>
      <c r="T425" s="3">
        <f t="shared" ca="1" si="145"/>
        <v>199562.66916155323</v>
      </c>
      <c r="U425" s="5">
        <f t="shared" ca="1" si="146"/>
        <v>15350.292825655459</v>
      </c>
    </row>
    <row r="426" spans="1:21" x14ac:dyDescent="0.35">
      <c r="A426">
        <f t="shared" ca="1" si="128"/>
        <v>1</v>
      </c>
      <c r="B426" s="4" t="str">
        <f t="shared" ca="1" si="126"/>
        <v>M</v>
      </c>
      <c r="C426" s="3">
        <f t="shared" ca="1" si="129"/>
        <v>1</v>
      </c>
      <c r="D426" s="3">
        <f t="shared" ca="1" si="127"/>
        <v>30</v>
      </c>
      <c r="E426" s="3" t="str">
        <f t="shared" ca="1" si="130"/>
        <v>Engineering</v>
      </c>
      <c r="F426" s="3">
        <f t="shared" ca="1" si="131"/>
        <v>5</v>
      </c>
      <c r="G426" s="3" t="str">
        <f t="shared" ca="1" si="132"/>
        <v>Diploma</v>
      </c>
      <c r="H426" s="3">
        <f t="shared" ca="1" si="133"/>
        <v>0</v>
      </c>
      <c r="I426" s="3">
        <f t="shared" ca="1" si="134"/>
        <v>0</v>
      </c>
      <c r="J426" s="3">
        <f t="shared" ca="1" si="135"/>
        <v>6</v>
      </c>
      <c r="K426" s="3" t="str">
        <f t="shared" ca="1" si="136"/>
        <v>Arunachal Pradesh</v>
      </c>
      <c r="L426" s="3">
        <f t="shared" ca="1" si="137"/>
        <v>79181</v>
      </c>
      <c r="M426" s="3">
        <f t="shared" ca="1" si="138"/>
        <v>554267</v>
      </c>
      <c r="N426" s="3">
        <f t="shared" ca="1" si="139"/>
        <v>185965.04891999596</v>
      </c>
      <c r="O426" s="3">
        <f t="shared" ca="1" si="140"/>
        <v>0</v>
      </c>
      <c r="P426" s="3">
        <f t="shared" ca="1" si="141"/>
        <v>0</v>
      </c>
      <c r="Q426" s="3">
        <f t="shared" ca="1" si="142"/>
        <v>4540.3001691405007</v>
      </c>
      <c r="R426" s="3">
        <f t="shared" ca="1" si="143"/>
        <v>45132.440802629622</v>
      </c>
      <c r="S426" s="3">
        <f t="shared" ca="1" si="144"/>
        <v>599399.44080262957</v>
      </c>
      <c r="T426" s="3">
        <f t="shared" ca="1" si="145"/>
        <v>190505.34908913646</v>
      </c>
      <c r="U426" s="5">
        <f t="shared" ca="1" si="146"/>
        <v>408894.09171349311</v>
      </c>
    </row>
    <row r="427" spans="1:21" x14ac:dyDescent="0.35">
      <c r="A427">
        <f t="shared" ca="1" si="128"/>
        <v>1</v>
      </c>
      <c r="B427" s="4" t="str">
        <f t="shared" ca="1" si="126"/>
        <v>M</v>
      </c>
      <c r="C427" s="3">
        <f t="shared" ca="1" si="129"/>
        <v>7</v>
      </c>
      <c r="D427" s="3">
        <f t="shared" ca="1" si="127"/>
        <v>21</v>
      </c>
      <c r="E427" s="3" t="str">
        <f t="shared" ca="1" si="130"/>
        <v>Other</v>
      </c>
      <c r="F427" s="3">
        <f t="shared" ca="1" si="131"/>
        <v>4</v>
      </c>
      <c r="G427" s="3" t="str">
        <f t="shared" ca="1" si="132"/>
        <v>PG</v>
      </c>
      <c r="H427" s="3">
        <f t="shared" ca="1" si="133"/>
        <v>1</v>
      </c>
      <c r="I427" s="3">
        <f t="shared" ca="1" si="134"/>
        <v>0</v>
      </c>
      <c r="J427" s="3">
        <f t="shared" ca="1" si="135"/>
        <v>19</v>
      </c>
      <c r="K427" s="3" t="str">
        <f t="shared" ca="1" si="136"/>
        <v>Mizoram</v>
      </c>
      <c r="L427" s="3">
        <f t="shared" ca="1" si="137"/>
        <v>71517</v>
      </c>
      <c r="M427" s="3">
        <f t="shared" ca="1" si="138"/>
        <v>643653</v>
      </c>
      <c r="N427" s="3">
        <f t="shared" ca="1" si="139"/>
        <v>397817.82292816864</v>
      </c>
      <c r="O427" s="3">
        <f t="shared" ca="1" si="140"/>
        <v>0</v>
      </c>
      <c r="P427" s="3">
        <f t="shared" ca="1" si="141"/>
        <v>0</v>
      </c>
      <c r="Q427" s="3">
        <f t="shared" ca="1" si="142"/>
        <v>17325.129929000723</v>
      </c>
      <c r="R427" s="3">
        <f t="shared" ca="1" si="143"/>
        <v>55529.479122821496</v>
      </c>
      <c r="S427" s="3">
        <f t="shared" ca="1" si="144"/>
        <v>699182.47912282147</v>
      </c>
      <c r="T427" s="3">
        <f t="shared" ca="1" si="145"/>
        <v>415142.95285716938</v>
      </c>
      <c r="U427" s="5">
        <f t="shared" ca="1" si="146"/>
        <v>284039.52626565209</v>
      </c>
    </row>
    <row r="428" spans="1:21" x14ac:dyDescent="0.35">
      <c r="A428">
        <f t="shared" ca="1" si="128"/>
        <v>2</v>
      </c>
      <c r="B428" s="4" t="str">
        <f t="shared" ca="1" si="126"/>
        <v>F</v>
      </c>
      <c r="C428" s="3">
        <f t="shared" ca="1" si="129"/>
        <v>2</v>
      </c>
      <c r="D428" s="3">
        <f t="shared" ca="1" si="127"/>
        <v>34</v>
      </c>
      <c r="E428" s="3" t="str">
        <f t="shared" ca="1" si="130"/>
        <v>Healthcare</v>
      </c>
      <c r="F428" s="3">
        <f t="shared" ca="1" si="131"/>
        <v>3</v>
      </c>
      <c r="G428" s="3" t="str">
        <f t="shared" ca="1" si="132"/>
        <v>UG</v>
      </c>
      <c r="H428" s="3">
        <f t="shared" ca="1" si="133"/>
        <v>0</v>
      </c>
      <c r="I428" s="3">
        <f t="shared" ca="1" si="134"/>
        <v>1</v>
      </c>
      <c r="J428" s="3">
        <f t="shared" ca="1" si="135"/>
        <v>24</v>
      </c>
      <c r="K428" s="3" t="str">
        <f t="shared" ca="1" si="136"/>
        <v>Tamil Nadu</v>
      </c>
      <c r="L428" s="3">
        <f t="shared" ca="1" si="137"/>
        <v>34565</v>
      </c>
      <c r="M428" s="3">
        <f t="shared" ca="1" si="138"/>
        <v>276520</v>
      </c>
      <c r="N428" s="3">
        <f t="shared" ca="1" si="139"/>
        <v>38955.560249964168</v>
      </c>
      <c r="O428" s="3">
        <f t="shared" ca="1" si="140"/>
        <v>7012.4728259964786</v>
      </c>
      <c r="P428" s="3">
        <f t="shared" ca="1" si="141"/>
        <v>6861.2174255212985</v>
      </c>
      <c r="Q428" s="3">
        <f t="shared" ca="1" si="142"/>
        <v>27170.562852065574</v>
      </c>
      <c r="R428" s="3">
        <f t="shared" ca="1" si="143"/>
        <v>22458.130815449207</v>
      </c>
      <c r="S428" s="3">
        <f t="shared" ca="1" si="144"/>
        <v>305990.60364144569</v>
      </c>
      <c r="T428" s="3">
        <f t="shared" ca="1" si="145"/>
        <v>72987.340527551045</v>
      </c>
      <c r="U428" s="5">
        <f t="shared" ca="1" si="146"/>
        <v>233003.26311389465</v>
      </c>
    </row>
    <row r="429" spans="1:21" x14ac:dyDescent="0.35">
      <c r="A429">
        <f t="shared" ca="1" si="128"/>
        <v>2</v>
      </c>
      <c r="B429" s="4" t="str">
        <f t="shared" ca="1" si="126"/>
        <v>F</v>
      </c>
      <c r="C429" s="3">
        <f t="shared" ca="1" si="129"/>
        <v>7</v>
      </c>
      <c r="D429" s="3">
        <f t="shared" ca="1" si="127"/>
        <v>23</v>
      </c>
      <c r="E429" s="3" t="str">
        <f t="shared" ca="1" si="130"/>
        <v>Other</v>
      </c>
      <c r="F429" s="3">
        <f t="shared" ca="1" si="131"/>
        <v>4</v>
      </c>
      <c r="G429" s="3" t="str">
        <f t="shared" ca="1" si="132"/>
        <v>PG</v>
      </c>
      <c r="H429" s="3">
        <f t="shared" ca="1" si="133"/>
        <v>3</v>
      </c>
      <c r="I429" s="3">
        <f t="shared" ca="1" si="134"/>
        <v>2</v>
      </c>
      <c r="J429" s="3">
        <f t="shared" ca="1" si="135"/>
        <v>21</v>
      </c>
      <c r="K429" s="3" t="str">
        <f t="shared" ca="1" si="136"/>
        <v>Odisha</v>
      </c>
      <c r="L429" s="3">
        <f t="shared" ca="1" si="137"/>
        <v>47237</v>
      </c>
      <c r="M429" s="3">
        <f t="shared" ca="1" si="138"/>
        <v>283422</v>
      </c>
      <c r="N429" s="3">
        <f t="shared" ca="1" si="139"/>
        <v>42296.427229157649</v>
      </c>
      <c r="O429" s="3">
        <f t="shared" ca="1" si="140"/>
        <v>65396.711664300034</v>
      </c>
      <c r="P429" s="3">
        <f t="shared" ca="1" si="141"/>
        <v>20652.010654920767</v>
      </c>
      <c r="Q429" s="3">
        <f t="shared" ca="1" si="142"/>
        <v>12358.371763990428</v>
      </c>
      <c r="R429" s="3">
        <f t="shared" ca="1" si="143"/>
        <v>29959.518843810758</v>
      </c>
      <c r="S429" s="3">
        <f t="shared" ca="1" si="144"/>
        <v>378778.23050811084</v>
      </c>
      <c r="T429" s="3">
        <f t="shared" ca="1" si="145"/>
        <v>75306.809648068855</v>
      </c>
      <c r="U429" s="5">
        <f t="shared" ca="1" si="146"/>
        <v>303471.42086004198</v>
      </c>
    </row>
    <row r="430" spans="1:21" x14ac:dyDescent="0.35">
      <c r="A430">
        <f t="shared" ca="1" si="128"/>
        <v>2</v>
      </c>
      <c r="B430" s="4" t="str">
        <f t="shared" ca="1" si="126"/>
        <v>F</v>
      </c>
      <c r="C430" s="3">
        <f t="shared" ca="1" si="129"/>
        <v>7</v>
      </c>
      <c r="D430" s="3">
        <f t="shared" ca="1" si="127"/>
        <v>35</v>
      </c>
      <c r="E430" s="3" t="str">
        <f t="shared" ca="1" si="130"/>
        <v>Other</v>
      </c>
      <c r="F430" s="3">
        <f t="shared" ca="1" si="131"/>
        <v>2</v>
      </c>
      <c r="G430" s="3" t="str">
        <f t="shared" ca="1" si="132"/>
        <v>Senior Secondary</v>
      </c>
      <c r="H430" s="3">
        <f t="shared" ca="1" si="133"/>
        <v>2</v>
      </c>
      <c r="I430" s="3">
        <f t="shared" ca="1" si="134"/>
        <v>0</v>
      </c>
      <c r="J430" s="3">
        <f t="shared" ca="1" si="135"/>
        <v>12</v>
      </c>
      <c r="K430" s="3" t="str">
        <f t="shared" ca="1" si="136"/>
        <v>Himachal Pradesh</v>
      </c>
      <c r="L430" s="3">
        <f t="shared" ca="1" si="137"/>
        <v>58173</v>
      </c>
      <c r="M430" s="3">
        <f t="shared" ca="1" si="138"/>
        <v>523557</v>
      </c>
      <c r="N430" s="3">
        <f t="shared" ca="1" si="139"/>
        <v>366093.98680487828</v>
      </c>
      <c r="O430" s="3">
        <f t="shared" ca="1" si="140"/>
        <v>0</v>
      </c>
      <c r="P430" s="3">
        <f t="shared" ca="1" si="141"/>
        <v>0</v>
      </c>
      <c r="Q430" s="3">
        <f t="shared" ca="1" si="142"/>
        <v>47941.464686768893</v>
      </c>
      <c r="R430" s="3">
        <f t="shared" ca="1" si="143"/>
        <v>46073.668835862147</v>
      </c>
      <c r="S430" s="3">
        <f t="shared" ca="1" si="144"/>
        <v>569630.66883586219</v>
      </c>
      <c r="T430" s="3">
        <f t="shared" ca="1" si="145"/>
        <v>414035.45149164717</v>
      </c>
      <c r="U430" s="5">
        <f t="shared" ca="1" si="146"/>
        <v>155595.21734421502</v>
      </c>
    </row>
    <row r="431" spans="1:21" x14ac:dyDescent="0.35">
      <c r="A431">
        <f t="shared" ca="1" si="128"/>
        <v>1</v>
      </c>
      <c r="B431" s="4" t="str">
        <f t="shared" ca="1" si="126"/>
        <v>M</v>
      </c>
      <c r="C431" s="3">
        <f t="shared" ca="1" si="129"/>
        <v>5</v>
      </c>
      <c r="D431" s="3">
        <f t="shared" ca="1" si="127"/>
        <v>21</v>
      </c>
      <c r="E431" s="3" t="str">
        <f t="shared" ca="1" si="130"/>
        <v>Research</v>
      </c>
      <c r="F431" s="3">
        <f t="shared" ca="1" si="131"/>
        <v>3</v>
      </c>
      <c r="G431" s="3" t="str">
        <f t="shared" ca="1" si="132"/>
        <v>UG</v>
      </c>
      <c r="H431" s="3">
        <f t="shared" ca="1" si="133"/>
        <v>1</v>
      </c>
      <c r="I431" s="3">
        <f t="shared" ca="1" si="134"/>
        <v>3</v>
      </c>
      <c r="J431" s="3">
        <f t="shared" ca="1" si="135"/>
        <v>5</v>
      </c>
      <c r="K431" s="3" t="str">
        <f t="shared" ca="1" si="136"/>
        <v>Andhra Pradesh</v>
      </c>
      <c r="L431" s="3">
        <f t="shared" ca="1" si="137"/>
        <v>43299</v>
      </c>
      <c r="M431" s="3">
        <f t="shared" ca="1" si="138"/>
        <v>259794</v>
      </c>
      <c r="N431" s="3">
        <f t="shared" ca="1" si="139"/>
        <v>97957.484104161806</v>
      </c>
      <c r="O431" s="3">
        <f t="shared" ca="1" si="140"/>
        <v>100545.97303854571</v>
      </c>
      <c r="P431" s="3">
        <f t="shared" ca="1" si="141"/>
        <v>93953.093986520398</v>
      </c>
      <c r="Q431" s="3">
        <f t="shared" ca="1" si="142"/>
        <v>27215.802941535076</v>
      </c>
      <c r="R431" s="3">
        <f t="shared" ca="1" si="143"/>
        <v>24870.107287385606</v>
      </c>
      <c r="S431" s="3">
        <f t="shared" ca="1" si="144"/>
        <v>385210.08032593131</v>
      </c>
      <c r="T431" s="3">
        <f t="shared" ca="1" si="145"/>
        <v>219126.38103221729</v>
      </c>
      <c r="U431" s="5">
        <f t="shared" ca="1" si="146"/>
        <v>166083.69929371402</v>
      </c>
    </row>
    <row r="432" spans="1:21" x14ac:dyDescent="0.35">
      <c r="A432">
        <f t="shared" ca="1" si="128"/>
        <v>2</v>
      </c>
      <c r="B432" s="4" t="str">
        <f t="shared" ca="1" si="126"/>
        <v>F</v>
      </c>
      <c r="C432" s="3">
        <f t="shared" ca="1" si="129"/>
        <v>4</v>
      </c>
      <c r="D432" s="3">
        <f t="shared" ca="1" si="127"/>
        <v>26</v>
      </c>
      <c r="E432" s="3" t="str">
        <f t="shared" ca="1" si="130"/>
        <v>Accounting</v>
      </c>
      <c r="F432" s="3">
        <f t="shared" ca="1" si="131"/>
        <v>6</v>
      </c>
      <c r="G432" s="3" t="str">
        <f t="shared" ca="1" si="132"/>
        <v>Doctorate</v>
      </c>
      <c r="H432" s="3">
        <f t="shared" ca="1" si="133"/>
        <v>3</v>
      </c>
      <c r="I432" s="3">
        <f t="shared" ca="1" si="134"/>
        <v>1</v>
      </c>
      <c r="J432" s="3">
        <f t="shared" ca="1" si="135"/>
        <v>28</v>
      </c>
      <c r="K432" s="3" t="str">
        <f t="shared" ca="1" si="136"/>
        <v>West Bengal</v>
      </c>
      <c r="L432" s="3">
        <f t="shared" ca="1" si="137"/>
        <v>52831</v>
      </c>
      <c r="M432" s="3">
        <f t="shared" ca="1" si="138"/>
        <v>316986</v>
      </c>
      <c r="N432" s="3">
        <f t="shared" ca="1" si="139"/>
        <v>96123.890968153704</v>
      </c>
      <c r="O432" s="3">
        <f t="shared" ca="1" si="140"/>
        <v>6019.0994029219964</v>
      </c>
      <c r="P432" s="3">
        <f t="shared" ca="1" si="141"/>
        <v>2189.6458188387151</v>
      </c>
      <c r="Q432" s="3">
        <f t="shared" ca="1" si="142"/>
        <v>38610.278779887565</v>
      </c>
      <c r="R432" s="3">
        <f t="shared" ca="1" si="143"/>
        <v>2408.7434079235049</v>
      </c>
      <c r="S432" s="3">
        <f t="shared" ca="1" si="144"/>
        <v>325413.84281084547</v>
      </c>
      <c r="T432" s="3">
        <f t="shared" ca="1" si="145"/>
        <v>136923.81556687999</v>
      </c>
      <c r="U432" s="5">
        <f t="shared" ca="1" si="146"/>
        <v>188490.02724396548</v>
      </c>
    </row>
    <row r="433" spans="1:21" x14ac:dyDescent="0.35">
      <c r="A433">
        <f t="shared" ca="1" si="128"/>
        <v>2</v>
      </c>
      <c r="B433" s="4" t="str">
        <f t="shared" ca="1" si="126"/>
        <v>F</v>
      </c>
      <c r="C433" s="3">
        <f t="shared" ca="1" si="129"/>
        <v>6</v>
      </c>
      <c r="D433" s="3">
        <f t="shared" ca="1" si="127"/>
        <v>28</v>
      </c>
      <c r="E433" s="3" t="str">
        <f t="shared" ca="1" si="130"/>
        <v>Art</v>
      </c>
      <c r="F433" s="3">
        <f t="shared" ca="1" si="131"/>
        <v>2</v>
      </c>
      <c r="G433" s="3" t="str">
        <f t="shared" ca="1" si="132"/>
        <v>Senior Secondary</v>
      </c>
      <c r="H433" s="3">
        <f t="shared" ca="1" si="133"/>
        <v>1</v>
      </c>
      <c r="I433" s="3">
        <f t="shared" ca="1" si="134"/>
        <v>3</v>
      </c>
      <c r="J433" s="3">
        <f t="shared" ca="1" si="135"/>
        <v>1</v>
      </c>
      <c r="K433" s="3" t="str">
        <f t="shared" ca="1" si="136"/>
        <v>Haryana</v>
      </c>
      <c r="L433" s="3">
        <f t="shared" ca="1" si="137"/>
        <v>81541</v>
      </c>
      <c r="M433" s="3">
        <f t="shared" ca="1" si="138"/>
        <v>652328</v>
      </c>
      <c r="N433" s="3">
        <f t="shared" ca="1" si="139"/>
        <v>504890.538482317</v>
      </c>
      <c r="O433" s="3">
        <f t="shared" ca="1" si="140"/>
        <v>229386.79645101717</v>
      </c>
      <c r="P433" s="3">
        <f t="shared" ca="1" si="141"/>
        <v>129822.08973640826</v>
      </c>
      <c r="Q433" s="3">
        <f t="shared" ca="1" si="142"/>
        <v>44713.739437936463</v>
      </c>
      <c r="R433" s="3">
        <f t="shared" ca="1" si="143"/>
        <v>26557.024270784856</v>
      </c>
      <c r="S433" s="3">
        <f t="shared" ca="1" si="144"/>
        <v>908271.82072180195</v>
      </c>
      <c r="T433" s="3">
        <f t="shared" ca="1" si="145"/>
        <v>679426.36765666178</v>
      </c>
      <c r="U433" s="5">
        <f t="shared" ca="1" si="146"/>
        <v>228845.45306514017</v>
      </c>
    </row>
    <row r="434" spans="1:21" x14ac:dyDescent="0.35">
      <c r="A434">
        <f t="shared" ca="1" si="128"/>
        <v>2</v>
      </c>
      <c r="B434" s="4" t="str">
        <f t="shared" ca="1" si="126"/>
        <v>F</v>
      </c>
      <c r="C434" s="3">
        <f t="shared" ca="1" si="129"/>
        <v>6</v>
      </c>
      <c r="D434" s="3">
        <f t="shared" ca="1" si="127"/>
        <v>41</v>
      </c>
      <c r="E434" s="3" t="str">
        <f t="shared" ca="1" si="130"/>
        <v>Art</v>
      </c>
      <c r="F434" s="3">
        <f t="shared" ca="1" si="131"/>
        <v>4</v>
      </c>
      <c r="G434" s="3" t="str">
        <f t="shared" ca="1" si="132"/>
        <v>PG</v>
      </c>
      <c r="H434" s="3">
        <f t="shared" ca="1" si="133"/>
        <v>0</v>
      </c>
      <c r="I434" s="3">
        <f t="shared" ca="1" si="134"/>
        <v>3</v>
      </c>
      <c r="J434" s="3">
        <f t="shared" ca="1" si="135"/>
        <v>22</v>
      </c>
      <c r="K434" s="3" t="str">
        <f t="shared" ca="1" si="136"/>
        <v>Rajasthan</v>
      </c>
      <c r="L434" s="3">
        <f t="shared" ca="1" si="137"/>
        <v>98310</v>
      </c>
      <c r="M434" s="3">
        <f t="shared" ca="1" si="138"/>
        <v>884790</v>
      </c>
      <c r="N434" s="3">
        <f t="shared" ca="1" si="139"/>
        <v>118802.684503627</v>
      </c>
      <c r="O434" s="3">
        <f t="shared" ca="1" si="140"/>
        <v>46371.736208214446</v>
      </c>
      <c r="P434" s="3">
        <f t="shared" ca="1" si="141"/>
        <v>31296.033583668548</v>
      </c>
      <c r="Q434" s="3">
        <f t="shared" ca="1" si="142"/>
        <v>52460.385931838442</v>
      </c>
      <c r="R434" s="3">
        <f t="shared" ca="1" si="143"/>
        <v>60712.453555461943</v>
      </c>
      <c r="S434" s="3">
        <f t="shared" ca="1" si="144"/>
        <v>991874.18976367638</v>
      </c>
      <c r="T434" s="3">
        <f t="shared" ca="1" si="145"/>
        <v>202559.10401913399</v>
      </c>
      <c r="U434" s="5">
        <f t="shared" ca="1" si="146"/>
        <v>789315.08574454242</v>
      </c>
    </row>
    <row r="435" spans="1:21" x14ac:dyDescent="0.35">
      <c r="A435">
        <f t="shared" ca="1" si="128"/>
        <v>2</v>
      </c>
      <c r="B435" s="4" t="str">
        <f t="shared" ca="1" si="126"/>
        <v>F</v>
      </c>
      <c r="C435" s="3">
        <f t="shared" ca="1" si="129"/>
        <v>4</v>
      </c>
      <c r="D435" s="3">
        <f t="shared" ca="1" si="127"/>
        <v>34</v>
      </c>
      <c r="E435" s="3" t="str">
        <f t="shared" ca="1" si="130"/>
        <v>Accounting</v>
      </c>
      <c r="F435" s="3">
        <f t="shared" ca="1" si="131"/>
        <v>4</v>
      </c>
      <c r="G435" s="3" t="str">
        <f t="shared" ca="1" si="132"/>
        <v>PG</v>
      </c>
      <c r="H435" s="3">
        <f t="shared" ca="1" si="133"/>
        <v>0</v>
      </c>
      <c r="I435" s="3">
        <f t="shared" ca="1" si="134"/>
        <v>2</v>
      </c>
      <c r="J435" s="3">
        <f t="shared" ca="1" si="135"/>
        <v>2</v>
      </c>
      <c r="K435" s="3" t="str">
        <f t="shared" ca="1" si="136"/>
        <v>Uttar Pradesh</v>
      </c>
      <c r="L435" s="3">
        <f t="shared" ca="1" si="137"/>
        <v>54275</v>
      </c>
      <c r="M435" s="3">
        <f t="shared" ca="1" si="138"/>
        <v>271375</v>
      </c>
      <c r="N435" s="3">
        <f t="shared" ca="1" si="139"/>
        <v>100809.40250713209</v>
      </c>
      <c r="O435" s="3">
        <f t="shared" ca="1" si="140"/>
        <v>100753.27712927785</v>
      </c>
      <c r="P435" s="3">
        <f t="shared" ca="1" si="141"/>
        <v>58499.585606632179</v>
      </c>
      <c r="Q435" s="3">
        <f t="shared" ca="1" si="142"/>
        <v>16153.147312424549</v>
      </c>
      <c r="R435" s="3">
        <f t="shared" ca="1" si="143"/>
        <v>18575.951768524264</v>
      </c>
      <c r="S435" s="3">
        <f t="shared" ca="1" si="144"/>
        <v>390704.22889780207</v>
      </c>
      <c r="T435" s="3">
        <f t="shared" ca="1" si="145"/>
        <v>175462.13542618882</v>
      </c>
      <c r="U435" s="5">
        <f t="shared" ca="1" si="146"/>
        <v>215242.09347161325</v>
      </c>
    </row>
    <row r="436" spans="1:21" x14ac:dyDescent="0.35">
      <c r="A436">
        <f t="shared" ca="1" si="128"/>
        <v>2</v>
      </c>
      <c r="B436" s="4" t="str">
        <f t="shared" ca="1" si="126"/>
        <v>F</v>
      </c>
      <c r="C436" s="3">
        <f t="shared" ca="1" si="129"/>
        <v>5</v>
      </c>
      <c r="D436" s="3">
        <f t="shared" ca="1" si="127"/>
        <v>43</v>
      </c>
      <c r="E436" s="3" t="str">
        <f t="shared" ca="1" si="130"/>
        <v>Research</v>
      </c>
      <c r="F436" s="3">
        <f t="shared" ca="1" si="131"/>
        <v>1</v>
      </c>
      <c r="G436" s="3" t="str">
        <f t="shared" ca="1" si="132"/>
        <v>Secondary</v>
      </c>
      <c r="H436" s="3">
        <f t="shared" ca="1" si="133"/>
        <v>4</v>
      </c>
      <c r="I436" s="3">
        <f t="shared" ca="1" si="134"/>
        <v>2</v>
      </c>
      <c r="J436" s="3">
        <f t="shared" ca="1" si="135"/>
        <v>14</v>
      </c>
      <c r="K436" s="3" t="str">
        <f t="shared" ca="1" si="136"/>
        <v>Karnataka</v>
      </c>
      <c r="L436" s="3">
        <f t="shared" ca="1" si="137"/>
        <v>45803</v>
      </c>
      <c r="M436" s="3">
        <f t="shared" ca="1" si="138"/>
        <v>229015</v>
      </c>
      <c r="N436" s="3">
        <f t="shared" ca="1" si="139"/>
        <v>166933.43398172199</v>
      </c>
      <c r="O436" s="3">
        <f t="shared" ca="1" si="140"/>
        <v>85153.4558259693</v>
      </c>
      <c r="P436" s="3">
        <f t="shared" ca="1" si="141"/>
        <v>27803.845374521403</v>
      </c>
      <c r="Q436" s="3">
        <f t="shared" ca="1" si="142"/>
        <v>38434.120493715862</v>
      </c>
      <c r="R436" s="3">
        <f t="shared" ca="1" si="143"/>
        <v>3878.3821878298963</v>
      </c>
      <c r="S436" s="3">
        <f t="shared" ca="1" si="144"/>
        <v>318046.83801379916</v>
      </c>
      <c r="T436" s="3">
        <f t="shared" ca="1" si="145"/>
        <v>233171.39984995924</v>
      </c>
      <c r="U436" s="5">
        <f t="shared" ca="1" si="146"/>
        <v>84875.438163839921</v>
      </c>
    </row>
    <row r="437" spans="1:21" x14ac:dyDescent="0.35">
      <c r="A437">
        <f t="shared" ca="1" si="128"/>
        <v>2</v>
      </c>
      <c r="B437" s="4" t="str">
        <f t="shared" ca="1" si="126"/>
        <v>F</v>
      </c>
      <c r="C437" s="3">
        <f t="shared" ca="1" si="129"/>
        <v>3</v>
      </c>
      <c r="D437" s="3">
        <f t="shared" ca="1" si="127"/>
        <v>44</v>
      </c>
      <c r="E437" s="3" t="str">
        <f t="shared" ca="1" si="130"/>
        <v>IT</v>
      </c>
      <c r="F437" s="3">
        <f t="shared" ca="1" si="131"/>
        <v>4</v>
      </c>
      <c r="G437" s="3" t="str">
        <f t="shared" ca="1" si="132"/>
        <v>PG</v>
      </c>
      <c r="H437" s="3">
        <f t="shared" ca="1" si="133"/>
        <v>1</v>
      </c>
      <c r="I437" s="3">
        <f t="shared" ca="1" si="134"/>
        <v>0</v>
      </c>
      <c r="J437" s="3">
        <f t="shared" ca="1" si="135"/>
        <v>17</v>
      </c>
      <c r="K437" s="3" t="str">
        <f t="shared" ca="1" si="136"/>
        <v xml:space="preserve">Manipur </v>
      </c>
      <c r="L437" s="3">
        <f t="shared" ca="1" si="137"/>
        <v>59429</v>
      </c>
      <c r="M437" s="3">
        <f t="shared" ca="1" si="138"/>
        <v>534861</v>
      </c>
      <c r="N437" s="3">
        <f t="shared" ca="1" si="139"/>
        <v>52850.256150026609</v>
      </c>
      <c r="O437" s="3">
        <f t="shared" ca="1" si="140"/>
        <v>0</v>
      </c>
      <c r="P437" s="3">
        <f t="shared" ca="1" si="141"/>
        <v>0</v>
      </c>
      <c r="Q437" s="3">
        <f t="shared" ca="1" si="142"/>
        <v>33887.63253397488</v>
      </c>
      <c r="R437" s="3">
        <f t="shared" ca="1" si="143"/>
        <v>58967.887276663765</v>
      </c>
      <c r="S437" s="3">
        <f t="shared" ca="1" si="144"/>
        <v>593828.88727666379</v>
      </c>
      <c r="T437" s="3">
        <f t="shared" ca="1" si="145"/>
        <v>86737.888684001489</v>
      </c>
      <c r="U437" s="5">
        <f t="shared" ca="1" si="146"/>
        <v>507090.99859266228</v>
      </c>
    </row>
    <row r="438" spans="1:21" x14ac:dyDescent="0.35">
      <c r="A438">
        <f t="shared" ca="1" si="128"/>
        <v>2</v>
      </c>
      <c r="B438" s="4" t="str">
        <f t="shared" ca="1" si="126"/>
        <v>F</v>
      </c>
      <c r="C438" s="3">
        <f t="shared" ca="1" si="129"/>
        <v>1</v>
      </c>
      <c r="D438" s="3">
        <f t="shared" ca="1" si="127"/>
        <v>29</v>
      </c>
      <c r="E438" s="3" t="str">
        <f t="shared" ca="1" si="130"/>
        <v>Engineering</v>
      </c>
      <c r="F438" s="3">
        <f t="shared" ca="1" si="131"/>
        <v>5</v>
      </c>
      <c r="G438" s="3" t="str">
        <f t="shared" ca="1" si="132"/>
        <v>Diploma</v>
      </c>
      <c r="H438" s="3">
        <f t="shared" ca="1" si="133"/>
        <v>3</v>
      </c>
      <c r="I438" s="3">
        <f t="shared" ca="1" si="134"/>
        <v>0</v>
      </c>
      <c r="J438" s="3">
        <f t="shared" ca="1" si="135"/>
        <v>15</v>
      </c>
      <c r="K438" s="3" t="str">
        <f t="shared" ca="1" si="136"/>
        <v>Kerela</v>
      </c>
      <c r="L438" s="3">
        <f t="shared" ca="1" si="137"/>
        <v>54576</v>
      </c>
      <c r="M438" s="3">
        <f t="shared" ca="1" si="138"/>
        <v>382032</v>
      </c>
      <c r="N438" s="3">
        <f t="shared" ca="1" si="139"/>
        <v>269789.99939620344</v>
      </c>
      <c r="O438" s="3">
        <f t="shared" ca="1" si="140"/>
        <v>0</v>
      </c>
      <c r="P438" s="3">
        <f t="shared" ca="1" si="141"/>
        <v>0</v>
      </c>
      <c r="Q438" s="3">
        <f t="shared" ca="1" si="142"/>
        <v>15033.829291236429</v>
      </c>
      <c r="R438" s="3">
        <f t="shared" ca="1" si="143"/>
        <v>42439.180546305906</v>
      </c>
      <c r="S438" s="3">
        <f t="shared" ca="1" si="144"/>
        <v>424471.1805463059</v>
      </c>
      <c r="T438" s="3">
        <f t="shared" ca="1" si="145"/>
        <v>284823.82868743985</v>
      </c>
      <c r="U438" s="5">
        <f t="shared" ca="1" si="146"/>
        <v>139647.35185886605</v>
      </c>
    </row>
    <row r="439" spans="1:21" x14ac:dyDescent="0.35">
      <c r="A439">
        <f t="shared" ca="1" si="128"/>
        <v>2</v>
      </c>
      <c r="B439" s="4" t="str">
        <f t="shared" ca="1" si="126"/>
        <v>F</v>
      </c>
      <c r="C439" s="3">
        <f t="shared" ca="1" si="129"/>
        <v>5</v>
      </c>
      <c r="D439" s="3">
        <f t="shared" ca="1" si="127"/>
        <v>32</v>
      </c>
      <c r="E439" s="3" t="str">
        <f t="shared" ca="1" si="130"/>
        <v>Research</v>
      </c>
      <c r="F439" s="3">
        <f t="shared" ca="1" si="131"/>
        <v>3</v>
      </c>
      <c r="G439" s="3" t="str">
        <f t="shared" ca="1" si="132"/>
        <v>UG</v>
      </c>
      <c r="H439" s="3">
        <f t="shared" ca="1" si="133"/>
        <v>1</v>
      </c>
      <c r="I439" s="3">
        <f t="shared" ca="1" si="134"/>
        <v>1</v>
      </c>
      <c r="J439" s="3">
        <f t="shared" ca="1" si="135"/>
        <v>9</v>
      </c>
      <c r="K439" s="3" t="str">
        <f t="shared" ca="1" si="136"/>
        <v>Chhattisgarh</v>
      </c>
      <c r="L439" s="3">
        <f t="shared" ca="1" si="137"/>
        <v>64815</v>
      </c>
      <c r="M439" s="3">
        <f t="shared" ca="1" si="138"/>
        <v>518520</v>
      </c>
      <c r="N439" s="3">
        <f t="shared" ca="1" si="139"/>
        <v>99609.343432189286</v>
      </c>
      <c r="O439" s="3">
        <f t="shared" ca="1" si="140"/>
        <v>11848.223608454697</v>
      </c>
      <c r="P439" s="3">
        <f t="shared" ca="1" si="141"/>
        <v>7358.9228897450348</v>
      </c>
      <c r="Q439" s="3">
        <f t="shared" ca="1" si="142"/>
        <v>17240.907396937531</v>
      </c>
      <c r="R439" s="3">
        <f t="shared" ca="1" si="143"/>
        <v>51497.602081184283</v>
      </c>
      <c r="S439" s="3">
        <f t="shared" ca="1" si="144"/>
        <v>581865.82568963896</v>
      </c>
      <c r="T439" s="3">
        <f t="shared" ca="1" si="145"/>
        <v>124209.17371887185</v>
      </c>
      <c r="U439" s="5">
        <f t="shared" ca="1" si="146"/>
        <v>457656.65197076713</v>
      </c>
    </row>
    <row r="440" spans="1:21" x14ac:dyDescent="0.35">
      <c r="A440">
        <f t="shared" ca="1" si="128"/>
        <v>1</v>
      </c>
      <c r="B440" s="4" t="str">
        <f t="shared" ca="1" si="126"/>
        <v>M</v>
      </c>
      <c r="C440" s="3">
        <f t="shared" ca="1" si="129"/>
        <v>6</v>
      </c>
      <c r="D440" s="3">
        <f t="shared" ca="1" si="127"/>
        <v>26</v>
      </c>
      <c r="E440" s="3" t="str">
        <f t="shared" ca="1" si="130"/>
        <v>Art</v>
      </c>
      <c r="F440" s="3">
        <f t="shared" ca="1" si="131"/>
        <v>2</v>
      </c>
      <c r="G440" s="3" t="str">
        <f t="shared" ca="1" si="132"/>
        <v>Senior Secondary</v>
      </c>
      <c r="H440" s="3">
        <f t="shared" ca="1" si="133"/>
        <v>1</v>
      </c>
      <c r="I440" s="3">
        <f t="shared" ca="1" si="134"/>
        <v>3</v>
      </c>
      <c r="J440" s="3">
        <f t="shared" ca="1" si="135"/>
        <v>6</v>
      </c>
      <c r="K440" s="3" t="str">
        <f t="shared" ca="1" si="136"/>
        <v>Arunachal Pradesh</v>
      </c>
      <c r="L440" s="3">
        <f t="shared" ca="1" si="137"/>
        <v>62475</v>
      </c>
      <c r="M440" s="3">
        <f t="shared" ca="1" si="138"/>
        <v>374850</v>
      </c>
      <c r="N440" s="3">
        <f t="shared" ca="1" si="139"/>
        <v>141629.37135317698</v>
      </c>
      <c r="O440" s="3">
        <f t="shared" ca="1" si="140"/>
        <v>133317.59633154393</v>
      </c>
      <c r="P440" s="3">
        <f t="shared" ca="1" si="141"/>
        <v>104768.35360971878</v>
      </c>
      <c r="Q440" s="3">
        <f t="shared" ca="1" si="142"/>
        <v>25782.909988123502</v>
      </c>
      <c r="R440" s="3">
        <f t="shared" ca="1" si="143"/>
        <v>26180.41056312108</v>
      </c>
      <c r="S440" s="3">
        <f t="shared" ca="1" si="144"/>
        <v>534348.00689466496</v>
      </c>
      <c r="T440" s="3">
        <f t="shared" ca="1" si="145"/>
        <v>272180.63495101925</v>
      </c>
      <c r="U440" s="5">
        <f t="shared" ca="1" si="146"/>
        <v>262167.3719436457</v>
      </c>
    </row>
    <row r="441" spans="1:21" x14ac:dyDescent="0.35">
      <c r="A441">
        <f t="shared" ca="1" si="128"/>
        <v>2</v>
      </c>
      <c r="B441" s="4" t="str">
        <f t="shared" ca="1" si="126"/>
        <v>F</v>
      </c>
      <c r="C441" s="3">
        <f t="shared" ca="1" si="129"/>
        <v>2</v>
      </c>
      <c r="D441" s="3">
        <f t="shared" ca="1" si="127"/>
        <v>45</v>
      </c>
      <c r="E441" s="3" t="str">
        <f t="shared" ca="1" si="130"/>
        <v>Healthcare</v>
      </c>
      <c r="F441" s="3">
        <f t="shared" ca="1" si="131"/>
        <v>7</v>
      </c>
      <c r="G441" s="3" t="str">
        <f t="shared" ca="1" si="132"/>
        <v>Other</v>
      </c>
      <c r="H441" s="3">
        <f t="shared" ca="1" si="133"/>
        <v>3</v>
      </c>
      <c r="I441" s="3">
        <f t="shared" ca="1" si="134"/>
        <v>0</v>
      </c>
      <c r="J441" s="3">
        <f t="shared" ca="1" si="135"/>
        <v>21</v>
      </c>
      <c r="K441" s="3" t="str">
        <f t="shared" ca="1" si="136"/>
        <v>Odisha</v>
      </c>
      <c r="L441" s="3">
        <f t="shared" ca="1" si="137"/>
        <v>37965</v>
      </c>
      <c r="M441" s="3">
        <f t="shared" ca="1" si="138"/>
        <v>227790</v>
      </c>
      <c r="N441" s="3">
        <f t="shared" ca="1" si="139"/>
        <v>195802.23710555315</v>
      </c>
      <c r="O441" s="3">
        <f t="shared" ca="1" si="140"/>
        <v>0</v>
      </c>
      <c r="P441" s="3">
        <f t="shared" ca="1" si="141"/>
        <v>0</v>
      </c>
      <c r="Q441" s="3">
        <f t="shared" ca="1" si="142"/>
        <v>12494.180467980193</v>
      </c>
      <c r="R441" s="3">
        <f t="shared" ca="1" si="143"/>
        <v>21724.780211951831</v>
      </c>
      <c r="S441" s="3">
        <f t="shared" ca="1" si="144"/>
        <v>249514.78021195182</v>
      </c>
      <c r="T441" s="3">
        <f t="shared" ca="1" si="145"/>
        <v>208296.41757353334</v>
      </c>
      <c r="U441" s="5">
        <f t="shared" ca="1" si="146"/>
        <v>41218.362638418475</v>
      </c>
    </row>
    <row r="442" spans="1:21" x14ac:dyDescent="0.35">
      <c r="A442">
        <f t="shared" ca="1" si="128"/>
        <v>1</v>
      </c>
      <c r="B442" s="4" t="str">
        <f t="shared" ca="1" si="126"/>
        <v>M</v>
      </c>
      <c r="C442" s="3">
        <f t="shared" ca="1" si="129"/>
        <v>5</v>
      </c>
      <c r="D442" s="3">
        <f t="shared" ca="1" si="127"/>
        <v>43</v>
      </c>
      <c r="E442" s="3" t="str">
        <f t="shared" ca="1" si="130"/>
        <v>Research</v>
      </c>
      <c r="F442" s="3">
        <f t="shared" ca="1" si="131"/>
        <v>7</v>
      </c>
      <c r="G442" s="3" t="str">
        <f t="shared" ca="1" si="132"/>
        <v>Other</v>
      </c>
      <c r="H442" s="3">
        <f t="shared" ca="1" si="133"/>
        <v>4</v>
      </c>
      <c r="I442" s="3">
        <f t="shared" ca="1" si="134"/>
        <v>2</v>
      </c>
      <c r="J442" s="3">
        <f t="shared" ca="1" si="135"/>
        <v>14</v>
      </c>
      <c r="K442" s="3" t="str">
        <f t="shared" ca="1" si="136"/>
        <v>Karnataka</v>
      </c>
      <c r="L442" s="3">
        <f t="shared" ca="1" si="137"/>
        <v>48289</v>
      </c>
      <c r="M442" s="3">
        <f t="shared" ca="1" si="138"/>
        <v>386312</v>
      </c>
      <c r="N442" s="3">
        <f t="shared" ca="1" si="139"/>
        <v>264542.40800900833</v>
      </c>
      <c r="O442" s="3">
        <f t="shared" ca="1" si="140"/>
        <v>31054.098886524247</v>
      </c>
      <c r="P442" s="3">
        <f t="shared" ca="1" si="141"/>
        <v>19792.102399367704</v>
      </c>
      <c r="Q442" s="3">
        <f t="shared" ca="1" si="142"/>
        <v>35899.601964787391</v>
      </c>
      <c r="R442" s="3">
        <f t="shared" ca="1" si="143"/>
        <v>21614.98062045547</v>
      </c>
      <c r="S442" s="3">
        <f t="shared" ca="1" si="144"/>
        <v>438981.07950697973</v>
      </c>
      <c r="T442" s="3">
        <f t="shared" ca="1" si="145"/>
        <v>320234.11237316346</v>
      </c>
      <c r="U442" s="5">
        <f t="shared" ca="1" si="146"/>
        <v>118746.96713381627</v>
      </c>
    </row>
    <row r="443" spans="1:21" x14ac:dyDescent="0.35">
      <c r="A443">
        <f t="shared" ca="1" si="128"/>
        <v>2</v>
      </c>
      <c r="B443" s="4" t="str">
        <f t="shared" ca="1" si="126"/>
        <v>F</v>
      </c>
      <c r="C443" s="3">
        <f t="shared" ca="1" si="129"/>
        <v>7</v>
      </c>
      <c r="D443" s="3">
        <f t="shared" ca="1" si="127"/>
        <v>38</v>
      </c>
      <c r="E443" s="3" t="str">
        <f t="shared" ca="1" si="130"/>
        <v>Other</v>
      </c>
      <c r="F443" s="3">
        <f t="shared" ca="1" si="131"/>
        <v>5</v>
      </c>
      <c r="G443" s="3" t="str">
        <f t="shared" ca="1" si="132"/>
        <v>Diploma</v>
      </c>
      <c r="H443" s="3">
        <f t="shared" ca="1" si="133"/>
        <v>0</v>
      </c>
      <c r="I443" s="3">
        <f t="shared" ca="1" si="134"/>
        <v>2</v>
      </c>
      <c r="J443" s="3">
        <f t="shared" ca="1" si="135"/>
        <v>2</v>
      </c>
      <c r="K443" s="3" t="str">
        <f t="shared" ca="1" si="136"/>
        <v>Uttar Pradesh</v>
      </c>
      <c r="L443" s="3">
        <f t="shared" ca="1" si="137"/>
        <v>55828</v>
      </c>
      <c r="M443" s="3">
        <f t="shared" ca="1" si="138"/>
        <v>279140</v>
      </c>
      <c r="N443" s="3">
        <f t="shared" ca="1" si="139"/>
        <v>173437.92910930692</v>
      </c>
      <c r="O443" s="3">
        <f t="shared" ca="1" si="140"/>
        <v>74354.844294200724</v>
      </c>
      <c r="P443" s="3">
        <f t="shared" ca="1" si="141"/>
        <v>7231.9311152620285</v>
      </c>
      <c r="Q443" s="3">
        <f t="shared" ca="1" si="142"/>
        <v>5898.9356456449714</v>
      </c>
      <c r="R443" s="3">
        <f t="shared" ca="1" si="143"/>
        <v>49554.403734483589</v>
      </c>
      <c r="S443" s="3">
        <f t="shared" ca="1" si="144"/>
        <v>403049.24802868429</v>
      </c>
      <c r="T443" s="3">
        <f t="shared" ca="1" si="145"/>
        <v>186568.79587021391</v>
      </c>
      <c r="U443" s="5">
        <f t="shared" ca="1" si="146"/>
        <v>216480.45215847038</v>
      </c>
    </row>
    <row r="444" spans="1:21" x14ac:dyDescent="0.35">
      <c r="A444">
        <f t="shared" ca="1" si="128"/>
        <v>1</v>
      </c>
      <c r="B444" s="4" t="str">
        <f t="shared" ca="1" si="126"/>
        <v>M</v>
      </c>
      <c r="C444" s="3">
        <f t="shared" ca="1" si="129"/>
        <v>7</v>
      </c>
      <c r="D444" s="3">
        <f t="shared" ca="1" si="127"/>
        <v>33</v>
      </c>
      <c r="E444" s="3" t="str">
        <f t="shared" ca="1" si="130"/>
        <v>Other</v>
      </c>
      <c r="F444" s="3">
        <f t="shared" ca="1" si="131"/>
        <v>3</v>
      </c>
      <c r="G444" s="3" t="str">
        <f t="shared" ca="1" si="132"/>
        <v>UG</v>
      </c>
      <c r="H444" s="3">
        <f t="shared" ca="1" si="133"/>
        <v>0</v>
      </c>
      <c r="I444" s="3">
        <f t="shared" ca="1" si="134"/>
        <v>0</v>
      </c>
      <c r="J444" s="3">
        <f t="shared" ca="1" si="135"/>
        <v>27</v>
      </c>
      <c r="K444" s="3" t="str">
        <f t="shared" ca="1" si="136"/>
        <v>Uttrakhand</v>
      </c>
      <c r="L444" s="3">
        <f t="shared" ca="1" si="137"/>
        <v>98407</v>
      </c>
      <c r="M444" s="3">
        <f t="shared" ca="1" si="138"/>
        <v>590442</v>
      </c>
      <c r="N444" s="3">
        <f t="shared" ca="1" si="139"/>
        <v>224282.42947182927</v>
      </c>
      <c r="O444" s="3">
        <f t="shared" ca="1" si="140"/>
        <v>0</v>
      </c>
      <c r="P444" s="3">
        <f t="shared" ca="1" si="141"/>
        <v>0</v>
      </c>
      <c r="Q444" s="3">
        <f t="shared" ca="1" si="142"/>
        <v>47139.000844877482</v>
      </c>
      <c r="R444" s="3">
        <f t="shared" ca="1" si="143"/>
        <v>19814.980898514463</v>
      </c>
      <c r="S444" s="3">
        <f t="shared" ca="1" si="144"/>
        <v>610256.98089851451</v>
      </c>
      <c r="T444" s="3">
        <f t="shared" ca="1" si="145"/>
        <v>271421.43031670677</v>
      </c>
      <c r="U444" s="5">
        <f t="shared" ca="1" si="146"/>
        <v>338835.55058180774</v>
      </c>
    </row>
    <row r="445" spans="1:21" x14ac:dyDescent="0.35">
      <c r="A445">
        <f t="shared" ca="1" si="128"/>
        <v>1</v>
      </c>
      <c r="B445" s="4" t="str">
        <f t="shared" ca="1" si="126"/>
        <v>M</v>
      </c>
      <c r="C445" s="3">
        <f t="shared" ca="1" si="129"/>
        <v>1</v>
      </c>
      <c r="D445" s="3">
        <f t="shared" ca="1" si="127"/>
        <v>22</v>
      </c>
      <c r="E445" s="3" t="str">
        <f t="shared" ca="1" si="130"/>
        <v>Engineering</v>
      </c>
      <c r="F445" s="3">
        <f t="shared" ca="1" si="131"/>
        <v>3</v>
      </c>
      <c r="G445" s="3" t="str">
        <f t="shared" ca="1" si="132"/>
        <v>UG</v>
      </c>
      <c r="H445" s="3">
        <f t="shared" ca="1" si="133"/>
        <v>4</v>
      </c>
      <c r="I445" s="3">
        <f t="shared" ca="1" si="134"/>
        <v>1</v>
      </c>
      <c r="J445" s="3">
        <f t="shared" ca="1" si="135"/>
        <v>26</v>
      </c>
      <c r="K445" s="3" t="str">
        <f t="shared" ca="1" si="136"/>
        <v>Tripura</v>
      </c>
      <c r="L445" s="3">
        <f t="shared" ca="1" si="137"/>
        <v>27728</v>
      </c>
      <c r="M445" s="3">
        <f t="shared" ca="1" si="138"/>
        <v>138640</v>
      </c>
      <c r="N445" s="3">
        <f t="shared" ca="1" si="139"/>
        <v>61649.357664316107</v>
      </c>
      <c r="O445" s="3">
        <f t="shared" ca="1" si="140"/>
        <v>14130.974021650616</v>
      </c>
      <c r="P445" s="3">
        <f t="shared" ca="1" si="141"/>
        <v>3894.2713325136779</v>
      </c>
      <c r="Q445" s="3">
        <f t="shared" ca="1" si="142"/>
        <v>26068.329596171017</v>
      </c>
      <c r="R445" s="3">
        <f t="shared" ca="1" si="143"/>
        <v>7370.7718300739825</v>
      </c>
      <c r="S445" s="3">
        <f t="shared" ca="1" si="144"/>
        <v>160141.74585172461</v>
      </c>
      <c r="T445" s="3">
        <f t="shared" ca="1" si="145"/>
        <v>91611.958593000803</v>
      </c>
      <c r="U445" s="5">
        <f t="shared" ca="1" si="146"/>
        <v>68529.787258723809</v>
      </c>
    </row>
    <row r="446" spans="1:21" x14ac:dyDescent="0.35">
      <c r="A446">
        <f t="shared" ca="1" si="128"/>
        <v>1</v>
      </c>
      <c r="B446" s="4" t="str">
        <f t="shared" ca="1" si="126"/>
        <v>M</v>
      </c>
      <c r="C446" s="3">
        <f t="shared" ca="1" si="129"/>
        <v>5</v>
      </c>
      <c r="D446" s="3">
        <f t="shared" ca="1" si="127"/>
        <v>19</v>
      </c>
      <c r="E446" s="3" t="str">
        <f t="shared" ca="1" si="130"/>
        <v>Research</v>
      </c>
      <c r="F446" s="3">
        <f t="shared" ca="1" si="131"/>
        <v>2</v>
      </c>
      <c r="G446" s="3" t="str">
        <f t="shared" ca="1" si="132"/>
        <v>Senior Secondary</v>
      </c>
      <c r="H446" s="3">
        <f t="shared" ca="1" si="133"/>
        <v>2</v>
      </c>
      <c r="I446" s="3">
        <f t="shared" ca="1" si="134"/>
        <v>1</v>
      </c>
      <c r="J446" s="3">
        <f t="shared" ca="1" si="135"/>
        <v>10</v>
      </c>
      <c r="K446" s="3" t="str">
        <f t="shared" ca="1" si="136"/>
        <v>Gujarat</v>
      </c>
      <c r="L446" s="3">
        <f t="shared" ca="1" si="137"/>
        <v>73561</v>
      </c>
      <c r="M446" s="3">
        <f t="shared" ca="1" si="138"/>
        <v>514927</v>
      </c>
      <c r="N446" s="3">
        <f t="shared" ca="1" si="139"/>
        <v>365162.3630417402</v>
      </c>
      <c r="O446" s="3">
        <f t="shared" ca="1" si="140"/>
        <v>8086.1325259399382</v>
      </c>
      <c r="P446" s="3">
        <f t="shared" ca="1" si="141"/>
        <v>2479.492079835717</v>
      </c>
      <c r="Q446" s="3">
        <f t="shared" ca="1" si="142"/>
        <v>7415.4282982915856</v>
      </c>
      <c r="R446" s="3">
        <f t="shared" ca="1" si="143"/>
        <v>60325.900862784743</v>
      </c>
      <c r="S446" s="3">
        <f t="shared" ca="1" si="144"/>
        <v>583339.03338872467</v>
      </c>
      <c r="T446" s="3">
        <f t="shared" ca="1" si="145"/>
        <v>375057.28341986751</v>
      </c>
      <c r="U446" s="5">
        <f t="shared" ca="1" si="146"/>
        <v>208281.74996885716</v>
      </c>
    </row>
    <row r="447" spans="1:21" x14ac:dyDescent="0.35">
      <c r="A447">
        <f t="shared" ca="1" si="128"/>
        <v>2</v>
      </c>
      <c r="B447" s="4" t="str">
        <f t="shared" ca="1" si="126"/>
        <v>F</v>
      </c>
      <c r="C447" s="3">
        <f t="shared" ca="1" si="129"/>
        <v>2</v>
      </c>
      <c r="D447" s="3">
        <f t="shared" ca="1" si="127"/>
        <v>39</v>
      </c>
      <c r="E447" s="3" t="str">
        <f t="shared" ca="1" si="130"/>
        <v>Healthcare</v>
      </c>
      <c r="F447" s="3">
        <f t="shared" ca="1" si="131"/>
        <v>2</v>
      </c>
      <c r="G447" s="3" t="str">
        <f t="shared" ca="1" si="132"/>
        <v>Senior Secondary</v>
      </c>
      <c r="H447" s="3">
        <f t="shared" ca="1" si="133"/>
        <v>1</v>
      </c>
      <c r="I447" s="3">
        <f t="shared" ca="1" si="134"/>
        <v>0</v>
      </c>
      <c r="J447" s="3">
        <f t="shared" ca="1" si="135"/>
        <v>8</v>
      </c>
      <c r="K447" s="3" t="str">
        <f t="shared" ca="1" si="136"/>
        <v>Bihar</v>
      </c>
      <c r="L447" s="3">
        <f t="shared" ca="1" si="137"/>
        <v>34872</v>
      </c>
      <c r="M447" s="3">
        <f t="shared" ca="1" si="138"/>
        <v>174360</v>
      </c>
      <c r="N447" s="3">
        <f t="shared" ca="1" si="139"/>
        <v>149095.34414750006</v>
      </c>
      <c r="O447" s="3">
        <f t="shared" ca="1" si="140"/>
        <v>0</v>
      </c>
      <c r="P447" s="3">
        <f t="shared" ca="1" si="141"/>
        <v>0</v>
      </c>
      <c r="Q447" s="3">
        <f t="shared" ca="1" si="142"/>
        <v>15826.705519839288</v>
      </c>
      <c r="R447" s="3">
        <f t="shared" ca="1" si="143"/>
        <v>21014.611620377062</v>
      </c>
      <c r="S447" s="3">
        <f t="shared" ca="1" si="144"/>
        <v>195374.61162037705</v>
      </c>
      <c r="T447" s="3">
        <f t="shared" ca="1" si="145"/>
        <v>164922.04966733934</v>
      </c>
      <c r="U447" s="5">
        <f t="shared" ca="1" si="146"/>
        <v>30452.561953037715</v>
      </c>
    </row>
    <row r="448" spans="1:21" x14ac:dyDescent="0.35">
      <c r="A448">
        <f t="shared" ca="1" si="128"/>
        <v>2</v>
      </c>
      <c r="B448" s="4" t="str">
        <f t="shared" ca="1" si="126"/>
        <v>F</v>
      </c>
      <c r="C448" s="3">
        <f t="shared" ca="1" si="129"/>
        <v>7</v>
      </c>
      <c r="D448" s="3">
        <f t="shared" ca="1" si="127"/>
        <v>40</v>
      </c>
      <c r="E448" s="3" t="str">
        <f t="shared" ca="1" si="130"/>
        <v>Other</v>
      </c>
      <c r="F448" s="3">
        <f t="shared" ca="1" si="131"/>
        <v>3</v>
      </c>
      <c r="G448" s="3" t="str">
        <f t="shared" ca="1" si="132"/>
        <v>UG</v>
      </c>
      <c r="H448" s="3">
        <f t="shared" ca="1" si="133"/>
        <v>1</v>
      </c>
      <c r="I448" s="3">
        <f t="shared" ca="1" si="134"/>
        <v>0</v>
      </c>
      <c r="J448" s="3">
        <f t="shared" ca="1" si="135"/>
        <v>20</v>
      </c>
      <c r="K448" s="3" t="str">
        <f t="shared" ca="1" si="136"/>
        <v>Nagaland</v>
      </c>
      <c r="L448" s="3">
        <f t="shared" ca="1" si="137"/>
        <v>93268</v>
      </c>
      <c r="M448" s="3">
        <f t="shared" ca="1" si="138"/>
        <v>466340</v>
      </c>
      <c r="N448" s="3">
        <f t="shared" ca="1" si="139"/>
        <v>204459.04955098146</v>
      </c>
      <c r="O448" s="3">
        <f t="shared" ca="1" si="140"/>
        <v>0</v>
      </c>
      <c r="P448" s="3">
        <f t="shared" ca="1" si="141"/>
        <v>0</v>
      </c>
      <c r="Q448" s="3">
        <f t="shared" ca="1" si="142"/>
        <v>52475.265950534529</v>
      </c>
      <c r="R448" s="3">
        <f t="shared" ca="1" si="143"/>
        <v>27798.447968803015</v>
      </c>
      <c r="S448" s="3">
        <f t="shared" ca="1" si="144"/>
        <v>494138.447968803</v>
      </c>
      <c r="T448" s="3">
        <f t="shared" ca="1" si="145"/>
        <v>256934.31550151599</v>
      </c>
      <c r="U448" s="5">
        <f t="shared" ca="1" si="146"/>
        <v>237204.13246728701</v>
      </c>
    </row>
    <row r="449" spans="1:21" x14ac:dyDescent="0.35">
      <c r="A449">
        <f t="shared" ca="1" si="128"/>
        <v>1</v>
      </c>
      <c r="B449" s="4" t="str">
        <f t="shared" ca="1" si="126"/>
        <v>M</v>
      </c>
      <c r="C449" s="3">
        <f t="shared" ca="1" si="129"/>
        <v>2</v>
      </c>
      <c r="D449" s="3">
        <f t="shared" ca="1" si="127"/>
        <v>31</v>
      </c>
      <c r="E449" s="3" t="str">
        <f t="shared" ca="1" si="130"/>
        <v>Healthcare</v>
      </c>
      <c r="F449" s="3">
        <f t="shared" ca="1" si="131"/>
        <v>1</v>
      </c>
      <c r="G449" s="3" t="str">
        <f t="shared" ca="1" si="132"/>
        <v>Secondary</v>
      </c>
      <c r="H449" s="3">
        <f t="shared" ca="1" si="133"/>
        <v>1</v>
      </c>
      <c r="I449" s="3">
        <f t="shared" ca="1" si="134"/>
        <v>2</v>
      </c>
      <c r="J449" s="3">
        <f t="shared" ca="1" si="135"/>
        <v>18</v>
      </c>
      <c r="K449" s="3" t="str">
        <f t="shared" ca="1" si="136"/>
        <v>Meghalya</v>
      </c>
      <c r="L449" s="3">
        <f t="shared" ca="1" si="137"/>
        <v>35900</v>
      </c>
      <c r="M449" s="3">
        <f t="shared" ca="1" si="138"/>
        <v>251300</v>
      </c>
      <c r="N449" s="3">
        <f t="shared" ca="1" si="139"/>
        <v>53204.205365506707</v>
      </c>
      <c r="O449" s="3">
        <f t="shared" ca="1" si="140"/>
        <v>2254.1253970101161</v>
      </c>
      <c r="P449" s="3">
        <f t="shared" ca="1" si="141"/>
        <v>897.2770191709235</v>
      </c>
      <c r="Q449" s="3">
        <f t="shared" ca="1" si="142"/>
        <v>23272.949071629249</v>
      </c>
      <c r="R449" s="3">
        <f t="shared" ca="1" si="143"/>
        <v>20318.056320635998</v>
      </c>
      <c r="S449" s="3">
        <f t="shared" ca="1" si="144"/>
        <v>273872.18171764613</v>
      </c>
      <c r="T449" s="3">
        <f t="shared" ca="1" si="145"/>
        <v>77374.431456306876</v>
      </c>
      <c r="U449" s="5">
        <f t="shared" ca="1" si="146"/>
        <v>196497.75026133924</v>
      </c>
    </row>
    <row r="450" spans="1:21" x14ac:dyDescent="0.35">
      <c r="A450">
        <f t="shared" ca="1" si="128"/>
        <v>2</v>
      </c>
      <c r="B450" s="4" t="str">
        <f t="shared" ca="1" si="126"/>
        <v>F</v>
      </c>
      <c r="C450" s="3">
        <f t="shared" ca="1" si="129"/>
        <v>1</v>
      </c>
      <c r="D450" s="3">
        <f t="shared" ca="1" si="127"/>
        <v>27</v>
      </c>
      <c r="E450" s="3" t="str">
        <f t="shared" ca="1" si="130"/>
        <v>Engineering</v>
      </c>
      <c r="F450" s="3">
        <f t="shared" ca="1" si="131"/>
        <v>7</v>
      </c>
      <c r="G450" s="3" t="str">
        <f t="shared" ca="1" si="132"/>
        <v>Other</v>
      </c>
      <c r="H450" s="3">
        <f t="shared" ca="1" si="133"/>
        <v>1</v>
      </c>
      <c r="I450" s="3">
        <f t="shared" ca="1" si="134"/>
        <v>1</v>
      </c>
      <c r="J450" s="3">
        <f t="shared" ca="1" si="135"/>
        <v>12</v>
      </c>
      <c r="K450" s="3" t="str">
        <f t="shared" ca="1" si="136"/>
        <v>Himachal Pradesh</v>
      </c>
      <c r="L450" s="3">
        <f t="shared" ca="1" si="137"/>
        <v>75015</v>
      </c>
      <c r="M450" s="3">
        <f t="shared" ca="1" si="138"/>
        <v>525105</v>
      </c>
      <c r="N450" s="3">
        <f t="shared" ca="1" si="139"/>
        <v>472289.69080868165</v>
      </c>
      <c r="O450" s="3">
        <f t="shared" ca="1" si="140"/>
        <v>32679.326145806735</v>
      </c>
      <c r="P450" s="3">
        <f t="shared" ca="1" si="141"/>
        <v>6806.1422273244625</v>
      </c>
      <c r="Q450" s="3">
        <f t="shared" ca="1" si="142"/>
        <v>8824.0490211767719</v>
      </c>
      <c r="R450" s="3">
        <f t="shared" ca="1" si="143"/>
        <v>74320.782070465502</v>
      </c>
      <c r="S450" s="3">
        <f t="shared" ca="1" si="144"/>
        <v>632105.1082162722</v>
      </c>
      <c r="T450" s="3">
        <f t="shared" ca="1" si="145"/>
        <v>487919.8820571829</v>
      </c>
      <c r="U450" s="5">
        <f t="shared" ca="1" si="146"/>
        <v>144185.2261590893</v>
      </c>
    </row>
    <row r="451" spans="1:21" x14ac:dyDescent="0.35">
      <c r="A451">
        <f t="shared" ca="1" si="128"/>
        <v>1</v>
      </c>
      <c r="B451" s="4" t="str">
        <f t="shared" ca="1" si="126"/>
        <v>M</v>
      </c>
      <c r="C451" s="3">
        <f t="shared" ca="1" si="129"/>
        <v>2</v>
      </c>
      <c r="D451" s="3">
        <f t="shared" ca="1" si="127"/>
        <v>21</v>
      </c>
      <c r="E451" s="3" t="str">
        <f t="shared" ca="1" si="130"/>
        <v>Healthcare</v>
      </c>
      <c r="F451" s="3">
        <f t="shared" ca="1" si="131"/>
        <v>1</v>
      </c>
      <c r="G451" s="3" t="str">
        <f t="shared" ca="1" si="132"/>
        <v>Secondary</v>
      </c>
      <c r="H451" s="3">
        <f t="shared" ca="1" si="133"/>
        <v>1</v>
      </c>
      <c r="I451" s="3">
        <f t="shared" ca="1" si="134"/>
        <v>3</v>
      </c>
      <c r="J451" s="3">
        <f t="shared" ca="1" si="135"/>
        <v>1</v>
      </c>
      <c r="K451" s="3" t="str">
        <f t="shared" ca="1" si="136"/>
        <v>Haryana</v>
      </c>
      <c r="L451" s="3">
        <f t="shared" ca="1" si="137"/>
        <v>46405</v>
      </c>
      <c r="M451" s="3">
        <f t="shared" ca="1" si="138"/>
        <v>278430</v>
      </c>
      <c r="N451" s="3">
        <f t="shared" ca="1" si="139"/>
        <v>193067.71279559931</v>
      </c>
      <c r="O451" s="3">
        <f t="shared" ca="1" si="140"/>
        <v>128924.71790455315</v>
      </c>
      <c r="P451" s="3">
        <f t="shared" ca="1" si="141"/>
        <v>106264.25548616584</v>
      </c>
      <c r="Q451" s="3">
        <f t="shared" ca="1" si="142"/>
        <v>6662.4307018800528</v>
      </c>
      <c r="R451" s="3">
        <f t="shared" ca="1" si="143"/>
        <v>13457.844770339276</v>
      </c>
      <c r="S451" s="3">
        <f t="shared" ca="1" si="144"/>
        <v>420812.56267489243</v>
      </c>
      <c r="T451" s="3">
        <f t="shared" ca="1" si="145"/>
        <v>305994.39898364519</v>
      </c>
      <c r="U451" s="5">
        <f t="shared" ca="1" si="146"/>
        <v>114818.16369124723</v>
      </c>
    </row>
    <row r="452" spans="1:21" x14ac:dyDescent="0.35">
      <c r="A452">
        <f t="shared" ca="1" si="128"/>
        <v>1</v>
      </c>
      <c r="B452" s="4" t="str">
        <f t="shared" ca="1" si="126"/>
        <v>M</v>
      </c>
      <c r="C452" s="3">
        <f t="shared" ca="1" si="129"/>
        <v>2</v>
      </c>
      <c r="D452" s="3">
        <f t="shared" ca="1" si="127"/>
        <v>45</v>
      </c>
      <c r="E452" s="3" t="str">
        <f t="shared" ca="1" si="130"/>
        <v>Healthcare</v>
      </c>
      <c r="F452" s="3">
        <f t="shared" ca="1" si="131"/>
        <v>5</v>
      </c>
      <c r="G452" s="3" t="str">
        <f t="shared" ca="1" si="132"/>
        <v>Diploma</v>
      </c>
      <c r="H452" s="3">
        <f t="shared" ca="1" si="133"/>
        <v>3</v>
      </c>
      <c r="I452" s="3">
        <f t="shared" ca="1" si="134"/>
        <v>2</v>
      </c>
      <c r="J452" s="3">
        <f t="shared" ca="1" si="135"/>
        <v>1</v>
      </c>
      <c r="K452" s="3" t="str">
        <f t="shared" ca="1" si="136"/>
        <v>Haryana</v>
      </c>
      <c r="L452" s="3">
        <f t="shared" ca="1" si="137"/>
        <v>91958</v>
      </c>
      <c r="M452" s="3">
        <f t="shared" ca="1" si="138"/>
        <v>735664</v>
      </c>
      <c r="N452" s="3">
        <f t="shared" ca="1" si="139"/>
        <v>234864.94276169242</v>
      </c>
      <c r="O452" s="3">
        <f t="shared" ca="1" si="140"/>
        <v>3612.3747086855988</v>
      </c>
      <c r="P452" s="3">
        <f t="shared" ca="1" si="141"/>
        <v>374.50607045867633</v>
      </c>
      <c r="Q452" s="3">
        <f t="shared" ca="1" si="142"/>
        <v>58028.077240304658</v>
      </c>
      <c r="R452" s="3">
        <f t="shared" ca="1" si="143"/>
        <v>8869.2425743081403</v>
      </c>
      <c r="S452" s="3">
        <f t="shared" ca="1" si="144"/>
        <v>748145.61728299374</v>
      </c>
      <c r="T452" s="3">
        <f t="shared" ca="1" si="145"/>
        <v>293267.52607245574</v>
      </c>
      <c r="U452" s="5">
        <f t="shared" ca="1" si="146"/>
        <v>454878.091210538</v>
      </c>
    </row>
    <row r="453" spans="1:21" x14ac:dyDescent="0.35">
      <c r="A453">
        <f t="shared" ca="1" si="128"/>
        <v>1</v>
      </c>
      <c r="B453" s="4" t="str">
        <f t="shared" ca="1" si="126"/>
        <v>M</v>
      </c>
      <c r="C453" s="3">
        <f t="shared" ca="1" si="129"/>
        <v>3</v>
      </c>
      <c r="D453" s="3">
        <f t="shared" ca="1" si="127"/>
        <v>38</v>
      </c>
      <c r="E453" s="3" t="str">
        <f t="shared" ca="1" si="130"/>
        <v>IT</v>
      </c>
      <c r="F453" s="3">
        <f t="shared" ca="1" si="131"/>
        <v>1</v>
      </c>
      <c r="G453" s="3" t="str">
        <f t="shared" ca="1" si="132"/>
        <v>Secondary</v>
      </c>
      <c r="H453" s="3">
        <f t="shared" ca="1" si="133"/>
        <v>3</v>
      </c>
      <c r="I453" s="3">
        <f t="shared" ca="1" si="134"/>
        <v>1</v>
      </c>
      <c r="J453" s="3">
        <f t="shared" ca="1" si="135"/>
        <v>5</v>
      </c>
      <c r="K453" s="3" t="str">
        <f t="shared" ca="1" si="136"/>
        <v>Andhra Pradesh</v>
      </c>
      <c r="L453" s="3">
        <f t="shared" ca="1" si="137"/>
        <v>35158</v>
      </c>
      <c r="M453" s="3">
        <f t="shared" ca="1" si="138"/>
        <v>175790</v>
      </c>
      <c r="N453" s="3">
        <f t="shared" ca="1" si="139"/>
        <v>94862.693884295863</v>
      </c>
      <c r="O453" s="3">
        <f t="shared" ca="1" si="140"/>
        <v>7517.6896585287732</v>
      </c>
      <c r="P453" s="3">
        <f t="shared" ca="1" si="141"/>
        <v>6849.999832746701</v>
      </c>
      <c r="Q453" s="3">
        <f t="shared" ca="1" si="142"/>
        <v>24256.335704037927</v>
      </c>
      <c r="R453" s="3">
        <f t="shared" ca="1" si="143"/>
        <v>8486.9831003855343</v>
      </c>
      <c r="S453" s="3">
        <f t="shared" ca="1" si="144"/>
        <v>191794.6727589143</v>
      </c>
      <c r="T453" s="3">
        <f t="shared" ca="1" si="145"/>
        <v>125969.02942108049</v>
      </c>
      <c r="U453" s="5">
        <f t="shared" ca="1" si="146"/>
        <v>65825.643337833812</v>
      </c>
    </row>
    <row r="454" spans="1:21" x14ac:dyDescent="0.35">
      <c r="A454">
        <f t="shared" ca="1" si="128"/>
        <v>1</v>
      </c>
      <c r="B454" s="4" t="str">
        <f t="shared" ca="1" si="126"/>
        <v>M</v>
      </c>
      <c r="C454" s="3">
        <f t="shared" ca="1" si="129"/>
        <v>5</v>
      </c>
      <c r="D454" s="3">
        <f t="shared" ca="1" si="127"/>
        <v>21</v>
      </c>
      <c r="E454" s="3" t="str">
        <f t="shared" ca="1" si="130"/>
        <v>Research</v>
      </c>
      <c r="F454" s="3">
        <f t="shared" ca="1" si="131"/>
        <v>3</v>
      </c>
      <c r="G454" s="3" t="str">
        <f t="shared" ca="1" si="132"/>
        <v>UG</v>
      </c>
      <c r="H454" s="3">
        <f t="shared" ca="1" si="133"/>
        <v>2</v>
      </c>
      <c r="I454" s="3">
        <f t="shared" ca="1" si="134"/>
        <v>0</v>
      </c>
      <c r="J454" s="3">
        <f t="shared" ca="1" si="135"/>
        <v>28</v>
      </c>
      <c r="K454" s="3" t="str">
        <f t="shared" ca="1" si="136"/>
        <v>West Bengal</v>
      </c>
      <c r="L454" s="3">
        <f t="shared" ca="1" si="137"/>
        <v>95326</v>
      </c>
      <c r="M454" s="3">
        <f t="shared" ca="1" si="138"/>
        <v>571956</v>
      </c>
      <c r="N454" s="3">
        <f t="shared" ca="1" si="139"/>
        <v>509433.30396771745</v>
      </c>
      <c r="O454" s="3">
        <f t="shared" ca="1" si="140"/>
        <v>0</v>
      </c>
      <c r="P454" s="3">
        <f t="shared" ca="1" si="141"/>
        <v>0</v>
      </c>
      <c r="Q454" s="3">
        <f t="shared" ca="1" si="142"/>
        <v>48435.882457986947</v>
      </c>
      <c r="R454" s="3">
        <f t="shared" ca="1" si="143"/>
        <v>32111.503483759341</v>
      </c>
      <c r="S454" s="3">
        <f t="shared" ca="1" si="144"/>
        <v>604067.50348375936</v>
      </c>
      <c r="T454" s="3">
        <f t="shared" ca="1" si="145"/>
        <v>557869.18642570439</v>
      </c>
      <c r="U454" s="5">
        <f t="shared" ca="1" si="146"/>
        <v>46198.317058054963</v>
      </c>
    </row>
    <row r="455" spans="1:21" x14ac:dyDescent="0.35">
      <c r="A455">
        <f t="shared" ca="1" si="128"/>
        <v>2</v>
      </c>
      <c r="B455" s="4" t="str">
        <f t="shared" ref="B455:B507" ca="1" si="147">IF(A455=1,"M","F")</f>
        <v>F</v>
      </c>
      <c r="C455" s="3">
        <f t="shared" ca="1" si="129"/>
        <v>1</v>
      </c>
      <c r="D455" s="3">
        <f t="shared" ref="D455:D507" ca="1" si="148">RANDBETWEEN(18,45)</f>
        <v>38</v>
      </c>
      <c r="E455" s="3" t="str">
        <f t="shared" ca="1" si="130"/>
        <v>Engineering</v>
      </c>
      <c r="F455" s="3">
        <f t="shared" ca="1" si="131"/>
        <v>5</v>
      </c>
      <c r="G455" s="3" t="str">
        <f t="shared" ca="1" si="132"/>
        <v>Diploma</v>
      </c>
      <c r="H455" s="3">
        <f t="shared" ca="1" si="133"/>
        <v>3</v>
      </c>
      <c r="I455" s="3">
        <f t="shared" ca="1" si="134"/>
        <v>2</v>
      </c>
      <c r="J455" s="3">
        <f t="shared" ca="1" si="135"/>
        <v>9</v>
      </c>
      <c r="K455" s="3" t="str">
        <f t="shared" ca="1" si="136"/>
        <v>Chhattisgarh</v>
      </c>
      <c r="L455" s="3">
        <f t="shared" ca="1" si="137"/>
        <v>88830</v>
      </c>
      <c r="M455" s="3">
        <f t="shared" ca="1" si="138"/>
        <v>710640</v>
      </c>
      <c r="N455" s="3">
        <f t="shared" ca="1" si="139"/>
        <v>85463.229217662156</v>
      </c>
      <c r="O455" s="3">
        <f t="shared" ca="1" si="140"/>
        <v>45290.31659873532</v>
      </c>
      <c r="P455" s="3">
        <f t="shared" ca="1" si="141"/>
        <v>12559.596716683352</v>
      </c>
      <c r="Q455" s="3">
        <f t="shared" ca="1" si="142"/>
        <v>24557.832860776816</v>
      </c>
      <c r="R455" s="3">
        <f t="shared" ca="1" si="143"/>
        <v>64678.867353334092</v>
      </c>
      <c r="S455" s="3">
        <f t="shared" ca="1" si="144"/>
        <v>820609.18395206938</v>
      </c>
      <c r="T455" s="3">
        <f t="shared" ca="1" si="145"/>
        <v>122580.65879512233</v>
      </c>
      <c r="U455" s="5">
        <f t="shared" ca="1" si="146"/>
        <v>698028.52515694709</v>
      </c>
    </row>
    <row r="456" spans="1:21" x14ac:dyDescent="0.35">
      <c r="A456">
        <f t="shared" ref="A456:A507" ca="1" si="149">RANDBETWEEN(1,2)</f>
        <v>1</v>
      </c>
      <c r="B456" s="4" t="str">
        <f t="shared" ca="1" si="147"/>
        <v>M</v>
      </c>
      <c r="C456" s="3">
        <f t="shared" ref="C456:C507" ca="1" si="150">RANDBETWEEN(1,7)</f>
        <v>1</v>
      </c>
      <c r="D456" s="3">
        <f t="shared" ca="1" si="148"/>
        <v>44</v>
      </c>
      <c r="E456" s="3" t="str">
        <f t="shared" ref="E456:E507" ca="1" si="151">VLOOKUP(C456,$Y$7:$Z$13,2)</f>
        <v>Engineering</v>
      </c>
      <c r="F456" s="3">
        <f t="shared" ref="F456:F507" ca="1" si="152">RANDBETWEEN(1,7)</f>
        <v>5</v>
      </c>
      <c r="G456" s="3" t="str">
        <f t="shared" ref="G456:G507" ca="1" si="153">VLOOKUP(F456,$AB$7:$AC$13,2)</f>
        <v>Diploma</v>
      </c>
      <c r="H456" s="3">
        <f t="shared" ref="H456:H507" ca="1" si="154">RANDBETWEEN(0,4)</f>
        <v>3</v>
      </c>
      <c r="I456" s="3">
        <f t="shared" ref="I456:I507" ca="1" si="155">RANDBETWEEN(0,3)</f>
        <v>0</v>
      </c>
      <c r="J456" s="3">
        <f t="shared" ref="J456:J507" ca="1" si="156">RANDBETWEEN(1,28)</f>
        <v>17</v>
      </c>
      <c r="K456" s="3" t="str">
        <f t="shared" ref="K456:K507" ca="1" si="157">VLOOKUP(J456,$AE$7:$AF$34,2)</f>
        <v xml:space="preserve">Manipur </v>
      </c>
      <c r="L456" s="3">
        <f t="shared" ref="L456:L507" ca="1" si="158">RANDBETWEEN(25000,99000)</f>
        <v>49233</v>
      </c>
      <c r="M456" s="3">
        <f t="shared" ref="M456:M507" ca="1" si="159">L456*RANDBETWEEN(5,9)</f>
        <v>295398</v>
      </c>
      <c r="N456" s="3">
        <f t="shared" ref="N456:N507" ca="1" si="160">RAND()*M456</f>
        <v>201954.20117393546</v>
      </c>
      <c r="O456" s="3">
        <f t="shared" ref="O456:O507" ca="1" si="161">RAND()*I456*L456</f>
        <v>0</v>
      </c>
      <c r="P456" s="3">
        <f t="shared" ref="P456:P507" ca="1" si="162">O456*RAND()</f>
        <v>0</v>
      </c>
      <c r="Q456" s="3">
        <f t="shared" ref="Q456:Q507" ca="1" si="163">RAND()*L456</f>
        <v>30992.550741556963</v>
      </c>
      <c r="R456" s="3">
        <f t="shared" ref="R456:R507" ca="1" si="164">RAND()*L456</f>
        <v>4616.5698099151768</v>
      </c>
      <c r="S456" s="3">
        <f t="shared" ref="S456:S507" ca="1" si="165">M456+O456+R456</f>
        <v>300014.56980991515</v>
      </c>
      <c r="T456" s="3">
        <f t="shared" ref="T456:T507" ca="1" si="166">N456+P456+Q456</f>
        <v>232946.75191549244</v>
      </c>
      <c r="U456" s="5">
        <f t="shared" ref="U456:U507" ca="1" si="167">S456-T456</f>
        <v>67067.817894422711</v>
      </c>
    </row>
    <row r="457" spans="1:21" x14ac:dyDescent="0.35">
      <c r="A457">
        <f t="shared" ca="1" si="149"/>
        <v>2</v>
      </c>
      <c r="B457" s="4" t="str">
        <f t="shared" ca="1" si="147"/>
        <v>F</v>
      </c>
      <c r="C457" s="3">
        <f t="shared" ca="1" si="150"/>
        <v>4</v>
      </c>
      <c r="D457" s="3">
        <f t="shared" ca="1" si="148"/>
        <v>23</v>
      </c>
      <c r="E457" s="3" t="str">
        <f t="shared" ca="1" si="151"/>
        <v>Accounting</v>
      </c>
      <c r="F457" s="3">
        <f t="shared" ca="1" si="152"/>
        <v>2</v>
      </c>
      <c r="G457" s="3" t="str">
        <f t="shared" ca="1" si="153"/>
        <v>Senior Secondary</v>
      </c>
      <c r="H457" s="3">
        <f t="shared" ca="1" si="154"/>
        <v>0</v>
      </c>
      <c r="I457" s="3">
        <f t="shared" ca="1" si="155"/>
        <v>0</v>
      </c>
      <c r="J457" s="3">
        <f t="shared" ca="1" si="156"/>
        <v>4</v>
      </c>
      <c r="K457" s="3" t="str">
        <f t="shared" ca="1" si="157"/>
        <v>Maharashtra</v>
      </c>
      <c r="L457" s="3">
        <f t="shared" ca="1" si="158"/>
        <v>92697</v>
      </c>
      <c r="M457" s="3">
        <f t="shared" ca="1" si="159"/>
        <v>463485</v>
      </c>
      <c r="N457" s="3">
        <f t="shared" ca="1" si="160"/>
        <v>344203.44145625265</v>
      </c>
      <c r="O457" s="3">
        <f t="shared" ca="1" si="161"/>
        <v>0</v>
      </c>
      <c r="P457" s="3">
        <f t="shared" ca="1" si="162"/>
        <v>0</v>
      </c>
      <c r="Q457" s="3">
        <f t="shared" ca="1" si="163"/>
        <v>21723.434742459496</v>
      </c>
      <c r="R457" s="3">
        <f t="shared" ca="1" si="164"/>
        <v>48437.149060415031</v>
      </c>
      <c r="S457" s="3">
        <f t="shared" ca="1" si="165"/>
        <v>511922.14906041505</v>
      </c>
      <c r="T457" s="3">
        <f t="shared" ca="1" si="166"/>
        <v>365926.87619871215</v>
      </c>
      <c r="U457" s="5">
        <f t="shared" ca="1" si="167"/>
        <v>145995.27286170289</v>
      </c>
    </row>
    <row r="458" spans="1:21" x14ac:dyDescent="0.35">
      <c r="A458">
        <f t="shared" ca="1" si="149"/>
        <v>2</v>
      </c>
      <c r="B458" s="4" t="str">
        <f t="shared" ca="1" si="147"/>
        <v>F</v>
      </c>
      <c r="C458" s="3">
        <f t="shared" ca="1" si="150"/>
        <v>5</v>
      </c>
      <c r="D458" s="3">
        <f t="shared" ca="1" si="148"/>
        <v>44</v>
      </c>
      <c r="E458" s="3" t="str">
        <f t="shared" ca="1" si="151"/>
        <v>Research</v>
      </c>
      <c r="F458" s="3">
        <f t="shared" ca="1" si="152"/>
        <v>6</v>
      </c>
      <c r="G458" s="3" t="str">
        <f t="shared" ca="1" si="153"/>
        <v>Doctorate</v>
      </c>
      <c r="H458" s="3">
        <f t="shared" ca="1" si="154"/>
        <v>3</v>
      </c>
      <c r="I458" s="3">
        <f t="shared" ca="1" si="155"/>
        <v>1</v>
      </c>
      <c r="J458" s="3">
        <f t="shared" ca="1" si="156"/>
        <v>14</v>
      </c>
      <c r="K458" s="3" t="str">
        <f t="shared" ca="1" si="157"/>
        <v>Karnataka</v>
      </c>
      <c r="L458" s="3">
        <f t="shared" ca="1" si="158"/>
        <v>69613</v>
      </c>
      <c r="M458" s="3">
        <f t="shared" ca="1" si="159"/>
        <v>348065</v>
      </c>
      <c r="N458" s="3">
        <f t="shared" ca="1" si="160"/>
        <v>135566.12091714775</v>
      </c>
      <c r="O458" s="3">
        <f t="shared" ca="1" si="161"/>
        <v>6799.979558095305</v>
      </c>
      <c r="P458" s="3">
        <f t="shared" ca="1" si="162"/>
        <v>3581.6845818638212</v>
      </c>
      <c r="Q458" s="3">
        <f t="shared" ca="1" si="163"/>
        <v>18299.511269960694</v>
      </c>
      <c r="R458" s="3">
        <f t="shared" ca="1" si="164"/>
        <v>43521.560765538881</v>
      </c>
      <c r="S458" s="3">
        <f t="shared" ca="1" si="165"/>
        <v>398386.54032363417</v>
      </c>
      <c r="T458" s="3">
        <f t="shared" ca="1" si="166"/>
        <v>157447.31676897226</v>
      </c>
      <c r="U458" s="5">
        <f t="shared" ca="1" si="167"/>
        <v>240939.2235546619</v>
      </c>
    </row>
    <row r="459" spans="1:21" x14ac:dyDescent="0.35">
      <c r="A459">
        <f t="shared" ca="1" si="149"/>
        <v>2</v>
      </c>
      <c r="B459" s="4" t="str">
        <f t="shared" ca="1" si="147"/>
        <v>F</v>
      </c>
      <c r="C459" s="3">
        <f t="shared" ca="1" si="150"/>
        <v>6</v>
      </c>
      <c r="D459" s="3">
        <f t="shared" ca="1" si="148"/>
        <v>19</v>
      </c>
      <c r="E459" s="3" t="str">
        <f t="shared" ca="1" si="151"/>
        <v>Art</v>
      </c>
      <c r="F459" s="3">
        <f t="shared" ca="1" si="152"/>
        <v>7</v>
      </c>
      <c r="G459" s="3" t="str">
        <f t="shared" ca="1" si="153"/>
        <v>Other</v>
      </c>
      <c r="H459" s="3">
        <f t="shared" ca="1" si="154"/>
        <v>0</v>
      </c>
      <c r="I459" s="3">
        <f t="shared" ca="1" si="155"/>
        <v>2</v>
      </c>
      <c r="J459" s="3">
        <f t="shared" ca="1" si="156"/>
        <v>2</v>
      </c>
      <c r="K459" s="3" t="str">
        <f t="shared" ca="1" si="157"/>
        <v>Uttar Pradesh</v>
      </c>
      <c r="L459" s="3">
        <f t="shared" ca="1" si="158"/>
        <v>89664</v>
      </c>
      <c r="M459" s="3">
        <f t="shared" ca="1" si="159"/>
        <v>717312</v>
      </c>
      <c r="N459" s="3">
        <f t="shared" ca="1" si="160"/>
        <v>418074.81158778677</v>
      </c>
      <c r="O459" s="3">
        <f t="shared" ca="1" si="161"/>
        <v>140435.05669037666</v>
      </c>
      <c r="P459" s="3">
        <f t="shared" ca="1" si="162"/>
        <v>75239.393813777322</v>
      </c>
      <c r="Q459" s="3">
        <f t="shared" ca="1" si="163"/>
        <v>23768.531498811339</v>
      </c>
      <c r="R459" s="3">
        <f t="shared" ca="1" si="164"/>
        <v>17279.174554212688</v>
      </c>
      <c r="S459" s="3">
        <f t="shared" ca="1" si="165"/>
        <v>875026.23124458943</v>
      </c>
      <c r="T459" s="3">
        <f t="shared" ca="1" si="166"/>
        <v>517082.7369003754</v>
      </c>
      <c r="U459" s="5">
        <f t="shared" ca="1" si="167"/>
        <v>357943.49434421404</v>
      </c>
    </row>
    <row r="460" spans="1:21" x14ac:dyDescent="0.35">
      <c r="A460">
        <f t="shared" ca="1" si="149"/>
        <v>2</v>
      </c>
      <c r="B460" s="4" t="str">
        <f t="shared" ca="1" si="147"/>
        <v>F</v>
      </c>
      <c r="C460" s="3">
        <f t="shared" ca="1" si="150"/>
        <v>1</v>
      </c>
      <c r="D460" s="3">
        <f t="shared" ca="1" si="148"/>
        <v>19</v>
      </c>
      <c r="E460" s="3" t="str">
        <f t="shared" ca="1" si="151"/>
        <v>Engineering</v>
      </c>
      <c r="F460" s="3">
        <f t="shared" ca="1" si="152"/>
        <v>4</v>
      </c>
      <c r="G460" s="3" t="str">
        <f t="shared" ca="1" si="153"/>
        <v>PG</v>
      </c>
      <c r="H460" s="3">
        <f t="shared" ca="1" si="154"/>
        <v>2</v>
      </c>
      <c r="I460" s="3">
        <f t="shared" ca="1" si="155"/>
        <v>2</v>
      </c>
      <c r="J460" s="3">
        <f t="shared" ca="1" si="156"/>
        <v>22</v>
      </c>
      <c r="K460" s="3" t="str">
        <f t="shared" ca="1" si="157"/>
        <v>Rajasthan</v>
      </c>
      <c r="L460" s="3">
        <f t="shared" ca="1" si="158"/>
        <v>87833</v>
      </c>
      <c r="M460" s="3">
        <f t="shared" ca="1" si="159"/>
        <v>614831</v>
      </c>
      <c r="N460" s="3">
        <f t="shared" ca="1" si="160"/>
        <v>11319.433848044768</v>
      </c>
      <c r="O460" s="3">
        <f t="shared" ca="1" si="161"/>
        <v>10695.058291341353</v>
      </c>
      <c r="P460" s="3">
        <f t="shared" ca="1" si="162"/>
        <v>1020.507577230356</v>
      </c>
      <c r="Q460" s="3">
        <f t="shared" ca="1" si="163"/>
        <v>31702.507214921592</v>
      </c>
      <c r="R460" s="3">
        <f t="shared" ca="1" si="164"/>
        <v>73303.030081412537</v>
      </c>
      <c r="S460" s="3">
        <f t="shared" ca="1" si="165"/>
        <v>698829.08837275393</v>
      </c>
      <c r="T460" s="3">
        <f t="shared" ca="1" si="166"/>
        <v>44042.448640196715</v>
      </c>
      <c r="U460" s="5">
        <f t="shared" ca="1" si="167"/>
        <v>654786.63973255723</v>
      </c>
    </row>
    <row r="461" spans="1:21" x14ac:dyDescent="0.35">
      <c r="A461">
        <f t="shared" ca="1" si="149"/>
        <v>2</v>
      </c>
      <c r="B461" s="4" t="str">
        <f t="shared" ca="1" si="147"/>
        <v>F</v>
      </c>
      <c r="C461" s="3">
        <f t="shared" ca="1" si="150"/>
        <v>3</v>
      </c>
      <c r="D461" s="3">
        <f t="shared" ca="1" si="148"/>
        <v>37</v>
      </c>
      <c r="E461" s="3" t="str">
        <f t="shared" ca="1" si="151"/>
        <v>IT</v>
      </c>
      <c r="F461" s="3">
        <f t="shared" ca="1" si="152"/>
        <v>2</v>
      </c>
      <c r="G461" s="3" t="str">
        <f t="shared" ca="1" si="153"/>
        <v>Senior Secondary</v>
      </c>
      <c r="H461" s="3">
        <f t="shared" ca="1" si="154"/>
        <v>4</v>
      </c>
      <c r="I461" s="3">
        <f t="shared" ca="1" si="155"/>
        <v>2</v>
      </c>
      <c r="J461" s="3">
        <f t="shared" ca="1" si="156"/>
        <v>10</v>
      </c>
      <c r="K461" s="3" t="str">
        <f t="shared" ca="1" si="157"/>
        <v>Gujarat</v>
      </c>
      <c r="L461" s="3">
        <f t="shared" ca="1" si="158"/>
        <v>53110</v>
      </c>
      <c r="M461" s="3">
        <f t="shared" ca="1" si="159"/>
        <v>265550</v>
      </c>
      <c r="N461" s="3">
        <f t="shared" ca="1" si="160"/>
        <v>117133.84650308115</v>
      </c>
      <c r="O461" s="3">
        <f t="shared" ca="1" si="161"/>
        <v>48326.781592301457</v>
      </c>
      <c r="P461" s="3">
        <f t="shared" ca="1" si="162"/>
        <v>26282.490701733663</v>
      </c>
      <c r="Q461" s="3">
        <f t="shared" ca="1" si="163"/>
        <v>15898.287064682854</v>
      </c>
      <c r="R461" s="3">
        <f t="shared" ca="1" si="164"/>
        <v>44854.183765330163</v>
      </c>
      <c r="S461" s="3">
        <f t="shared" ca="1" si="165"/>
        <v>358730.96535763162</v>
      </c>
      <c r="T461" s="3">
        <f t="shared" ca="1" si="166"/>
        <v>159314.62426949767</v>
      </c>
      <c r="U461" s="5">
        <f t="shared" ca="1" si="167"/>
        <v>199416.34108813395</v>
      </c>
    </row>
    <row r="462" spans="1:21" x14ac:dyDescent="0.35">
      <c r="A462">
        <f t="shared" ca="1" si="149"/>
        <v>2</v>
      </c>
      <c r="B462" s="4" t="str">
        <f t="shared" ca="1" si="147"/>
        <v>F</v>
      </c>
      <c r="C462" s="3">
        <f t="shared" ca="1" si="150"/>
        <v>5</v>
      </c>
      <c r="D462" s="3">
        <f t="shared" ca="1" si="148"/>
        <v>36</v>
      </c>
      <c r="E462" s="3" t="str">
        <f t="shared" ca="1" si="151"/>
        <v>Research</v>
      </c>
      <c r="F462" s="3">
        <f t="shared" ca="1" si="152"/>
        <v>5</v>
      </c>
      <c r="G462" s="3" t="str">
        <f t="shared" ca="1" si="153"/>
        <v>Diploma</v>
      </c>
      <c r="H462" s="3">
        <f t="shared" ca="1" si="154"/>
        <v>2</v>
      </c>
      <c r="I462" s="3">
        <f t="shared" ca="1" si="155"/>
        <v>0</v>
      </c>
      <c r="J462" s="3">
        <f t="shared" ca="1" si="156"/>
        <v>25</v>
      </c>
      <c r="K462" s="3" t="str">
        <f t="shared" ca="1" si="157"/>
        <v>Telangana</v>
      </c>
      <c r="L462" s="3">
        <f t="shared" ca="1" si="158"/>
        <v>83912</v>
      </c>
      <c r="M462" s="3">
        <f t="shared" ca="1" si="159"/>
        <v>671296</v>
      </c>
      <c r="N462" s="3">
        <f t="shared" ca="1" si="160"/>
        <v>368501.07383052527</v>
      </c>
      <c r="O462" s="3">
        <f t="shared" ca="1" si="161"/>
        <v>0</v>
      </c>
      <c r="P462" s="3">
        <f t="shared" ca="1" si="162"/>
        <v>0</v>
      </c>
      <c r="Q462" s="3">
        <f t="shared" ca="1" si="163"/>
        <v>22921.43798060621</v>
      </c>
      <c r="R462" s="3">
        <f t="shared" ca="1" si="164"/>
        <v>72377.883595030595</v>
      </c>
      <c r="S462" s="3">
        <f t="shared" ca="1" si="165"/>
        <v>743673.88359503064</v>
      </c>
      <c r="T462" s="3">
        <f t="shared" ca="1" si="166"/>
        <v>391422.5118111315</v>
      </c>
      <c r="U462" s="5">
        <f t="shared" ca="1" si="167"/>
        <v>352251.37178389914</v>
      </c>
    </row>
    <row r="463" spans="1:21" x14ac:dyDescent="0.35">
      <c r="A463">
        <f t="shared" ca="1" si="149"/>
        <v>1</v>
      </c>
      <c r="B463" s="4" t="str">
        <f t="shared" ca="1" si="147"/>
        <v>M</v>
      </c>
      <c r="C463" s="3">
        <f t="shared" ca="1" si="150"/>
        <v>5</v>
      </c>
      <c r="D463" s="3">
        <f t="shared" ca="1" si="148"/>
        <v>20</v>
      </c>
      <c r="E463" s="3" t="str">
        <f t="shared" ca="1" si="151"/>
        <v>Research</v>
      </c>
      <c r="F463" s="3">
        <f t="shared" ca="1" si="152"/>
        <v>6</v>
      </c>
      <c r="G463" s="3" t="str">
        <f t="shared" ca="1" si="153"/>
        <v>Doctorate</v>
      </c>
      <c r="H463" s="3">
        <f t="shared" ca="1" si="154"/>
        <v>0</v>
      </c>
      <c r="I463" s="3">
        <f t="shared" ca="1" si="155"/>
        <v>3</v>
      </c>
      <c r="J463" s="3">
        <f t="shared" ca="1" si="156"/>
        <v>26</v>
      </c>
      <c r="K463" s="3" t="str">
        <f t="shared" ca="1" si="157"/>
        <v>Tripura</v>
      </c>
      <c r="L463" s="3">
        <f t="shared" ca="1" si="158"/>
        <v>39420</v>
      </c>
      <c r="M463" s="3">
        <f t="shared" ca="1" si="159"/>
        <v>275940</v>
      </c>
      <c r="N463" s="3">
        <f t="shared" ca="1" si="160"/>
        <v>263162.21169912827</v>
      </c>
      <c r="O463" s="3">
        <f t="shared" ca="1" si="161"/>
        <v>92021.132832037896</v>
      </c>
      <c r="P463" s="3">
        <f t="shared" ca="1" si="162"/>
        <v>39236.548576311216</v>
      </c>
      <c r="Q463" s="3">
        <f t="shared" ca="1" si="163"/>
        <v>14196.77383077989</v>
      </c>
      <c r="R463" s="3">
        <f t="shared" ca="1" si="164"/>
        <v>16974.339819220884</v>
      </c>
      <c r="S463" s="3">
        <f t="shared" ca="1" si="165"/>
        <v>384935.47265125875</v>
      </c>
      <c r="T463" s="3">
        <f t="shared" ca="1" si="166"/>
        <v>316595.53410621936</v>
      </c>
      <c r="U463" s="5">
        <f t="shared" ca="1" si="167"/>
        <v>68339.938545039389</v>
      </c>
    </row>
    <row r="464" spans="1:21" x14ac:dyDescent="0.35">
      <c r="A464">
        <f t="shared" ca="1" si="149"/>
        <v>2</v>
      </c>
      <c r="B464" s="4" t="str">
        <f t="shared" ca="1" si="147"/>
        <v>F</v>
      </c>
      <c r="C464" s="3">
        <f t="shared" ca="1" si="150"/>
        <v>6</v>
      </c>
      <c r="D464" s="3">
        <f t="shared" ca="1" si="148"/>
        <v>22</v>
      </c>
      <c r="E464" s="3" t="str">
        <f t="shared" ca="1" si="151"/>
        <v>Art</v>
      </c>
      <c r="F464" s="3">
        <f t="shared" ca="1" si="152"/>
        <v>4</v>
      </c>
      <c r="G464" s="3" t="str">
        <f t="shared" ca="1" si="153"/>
        <v>PG</v>
      </c>
      <c r="H464" s="3">
        <f t="shared" ca="1" si="154"/>
        <v>1</v>
      </c>
      <c r="I464" s="3">
        <f t="shared" ca="1" si="155"/>
        <v>3</v>
      </c>
      <c r="J464" s="3">
        <f t="shared" ca="1" si="156"/>
        <v>7</v>
      </c>
      <c r="K464" s="3" t="str">
        <f t="shared" ca="1" si="157"/>
        <v>Assam</v>
      </c>
      <c r="L464" s="3">
        <f t="shared" ca="1" si="158"/>
        <v>79735</v>
      </c>
      <c r="M464" s="3">
        <f t="shared" ca="1" si="159"/>
        <v>398675</v>
      </c>
      <c r="N464" s="3">
        <f t="shared" ca="1" si="160"/>
        <v>11846.485460743448</v>
      </c>
      <c r="O464" s="3">
        <f t="shared" ca="1" si="161"/>
        <v>47885.63074923442</v>
      </c>
      <c r="P464" s="3">
        <f t="shared" ca="1" si="162"/>
        <v>1181.9656484530406</v>
      </c>
      <c r="Q464" s="3">
        <f t="shared" ca="1" si="163"/>
        <v>29466.83079236179</v>
      </c>
      <c r="R464" s="3">
        <f t="shared" ca="1" si="164"/>
        <v>45325.518109694283</v>
      </c>
      <c r="S464" s="3">
        <f t="shared" ca="1" si="165"/>
        <v>491886.1488589287</v>
      </c>
      <c r="T464" s="3">
        <f t="shared" ca="1" si="166"/>
        <v>42495.281901558279</v>
      </c>
      <c r="U464" s="5">
        <f t="shared" ca="1" si="167"/>
        <v>449390.86695737042</v>
      </c>
    </row>
    <row r="465" spans="1:21" x14ac:dyDescent="0.35">
      <c r="A465">
        <f t="shared" ca="1" si="149"/>
        <v>1</v>
      </c>
      <c r="B465" s="4" t="str">
        <f t="shared" ca="1" si="147"/>
        <v>M</v>
      </c>
      <c r="C465" s="3">
        <f t="shared" ca="1" si="150"/>
        <v>1</v>
      </c>
      <c r="D465" s="3">
        <f t="shared" ca="1" si="148"/>
        <v>40</v>
      </c>
      <c r="E465" s="3" t="str">
        <f t="shared" ca="1" si="151"/>
        <v>Engineering</v>
      </c>
      <c r="F465" s="3">
        <f t="shared" ca="1" si="152"/>
        <v>5</v>
      </c>
      <c r="G465" s="3" t="str">
        <f t="shared" ca="1" si="153"/>
        <v>Diploma</v>
      </c>
      <c r="H465" s="3">
        <f t="shared" ca="1" si="154"/>
        <v>0</v>
      </c>
      <c r="I465" s="3">
        <f t="shared" ca="1" si="155"/>
        <v>1</v>
      </c>
      <c r="J465" s="3">
        <f t="shared" ca="1" si="156"/>
        <v>21</v>
      </c>
      <c r="K465" s="3" t="str">
        <f t="shared" ca="1" si="157"/>
        <v>Odisha</v>
      </c>
      <c r="L465" s="3">
        <f t="shared" ca="1" si="158"/>
        <v>92764</v>
      </c>
      <c r="M465" s="3">
        <f t="shared" ca="1" si="159"/>
        <v>463820</v>
      </c>
      <c r="N465" s="3">
        <f t="shared" ca="1" si="160"/>
        <v>337859.26187791734</v>
      </c>
      <c r="O465" s="3">
        <f t="shared" ca="1" si="161"/>
        <v>56926.451489420659</v>
      </c>
      <c r="P465" s="3">
        <f t="shared" ca="1" si="162"/>
        <v>9762.3985932952455</v>
      </c>
      <c r="Q465" s="3">
        <f t="shared" ca="1" si="163"/>
        <v>16057.460659666087</v>
      </c>
      <c r="R465" s="3">
        <f t="shared" ca="1" si="164"/>
        <v>54119.492528451796</v>
      </c>
      <c r="S465" s="3">
        <f t="shared" ca="1" si="165"/>
        <v>574865.94401787245</v>
      </c>
      <c r="T465" s="3">
        <f t="shared" ca="1" si="166"/>
        <v>363679.12113087869</v>
      </c>
      <c r="U465" s="5">
        <f t="shared" ca="1" si="167"/>
        <v>211186.82288699376</v>
      </c>
    </row>
    <row r="466" spans="1:21" x14ac:dyDescent="0.35">
      <c r="A466">
        <f t="shared" ca="1" si="149"/>
        <v>1</v>
      </c>
      <c r="B466" s="4" t="str">
        <f t="shared" ca="1" si="147"/>
        <v>M</v>
      </c>
      <c r="C466" s="3">
        <f t="shared" ca="1" si="150"/>
        <v>6</v>
      </c>
      <c r="D466" s="3">
        <f t="shared" ca="1" si="148"/>
        <v>18</v>
      </c>
      <c r="E466" s="3" t="str">
        <f t="shared" ca="1" si="151"/>
        <v>Art</v>
      </c>
      <c r="F466" s="3">
        <f t="shared" ca="1" si="152"/>
        <v>7</v>
      </c>
      <c r="G466" s="3" t="str">
        <f t="shared" ca="1" si="153"/>
        <v>Other</v>
      </c>
      <c r="H466" s="3">
        <f t="shared" ca="1" si="154"/>
        <v>4</v>
      </c>
      <c r="I466" s="3">
        <f t="shared" ca="1" si="155"/>
        <v>3</v>
      </c>
      <c r="J466" s="3">
        <f t="shared" ca="1" si="156"/>
        <v>4</v>
      </c>
      <c r="K466" s="3" t="str">
        <f t="shared" ca="1" si="157"/>
        <v>Maharashtra</v>
      </c>
      <c r="L466" s="3">
        <f t="shared" ca="1" si="158"/>
        <v>77073</v>
      </c>
      <c r="M466" s="3">
        <f t="shared" ca="1" si="159"/>
        <v>539511</v>
      </c>
      <c r="N466" s="3">
        <f t="shared" ca="1" si="160"/>
        <v>169578.30410289142</v>
      </c>
      <c r="O466" s="3">
        <f t="shared" ca="1" si="161"/>
        <v>157598.62370173473</v>
      </c>
      <c r="P466" s="3">
        <f t="shared" ca="1" si="162"/>
        <v>74054.34722674865</v>
      </c>
      <c r="Q466" s="3">
        <f t="shared" ca="1" si="163"/>
        <v>42521.331135188469</v>
      </c>
      <c r="R466" s="3">
        <f t="shared" ca="1" si="164"/>
        <v>52835.537019457966</v>
      </c>
      <c r="S466" s="3">
        <f t="shared" ca="1" si="165"/>
        <v>749945.16072119272</v>
      </c>
      <c r="T466" s="3">
        <f t="shared" ca="1" si="166"/>
        <v>286153.98246482853</v>
      </c>
      <c r="U466" s="5">
        <f t="shared" ca="1" si="167"/>
        <v>463791.17825636419</v>
      </c>
    </row>
    <row r="467" spans="1:21" x14ac:dyDescent="0.35">
      <c r="A467">
        <f t="shared" ca="1" si="149"/>
        <v>1</v>
      </c>
      <c r="B467" s="4" t="str">
        <f t="shared" ca="1" si="147"/>
        <v>M</v>
      </c>
      <c r="C467" s="3">
        <f t="shared" ca="1" si="150"/>
        <v>4</v>
      </c>
      <c r="D467" s="3">
        <f t="shared" ca="1" si="148"/>
        <v>32</v>
      </c>
      <c r="E467" s="3" t="str">
        <f t="shared" ca="1" si="151"/>
        <v>Accounting</v>
      </c>
      <c r="F467" s="3">
        <f t="shared" ca="1" si="152"/>
        <v>2</v>
      </c>
      <c r="G467" s="3" t="str">
        <f t="shared" ca="1" si="153"/>
        <v>Senior Secondary</v>
      </c>
      <c r="H467" s="3">
        <f t="shared" ca="1" si="154"/>
        <v>4</v>
      </c>
      <c r="I467" s="3">
        <f t="shared" ca="1" si="155"/>
        <v>2</v>
      </c>
      <c r="J467" s="3">
        <f t="shared" ca="1" si="156"/>
        <v>11</v>
      </c>
      <c r="K467" s="3" t="str">
        <f t="shared" ca="1" si="157"/>
        <v>Goa</v>
      </c>
      <c r="L467" s="3">
        <f t="shared" ca="1" si="158"/>
        <v>46810</v>
      </c>
      <c r="M467" s="3">
        <f t="shared" ca="1" si="159"/>
        <v>421290</v>
      </c>
      <c r="N467" s="3">
        <f t="shared" ca="1" si="160"/>
        <v>406790.57943564106</v>
      </c>
      <c r="O467" s="3">
        <f t="shared" ca="1" si="161"/>
        <v>43222.78521465198</v>
      </c>
      <c r="P467" s="3">
        <f t="shared" ca="1" si="162"/>
        <v>32751.24106152423</v>
      </c>
      <c r="Q467" s="3">
        <f t="shared" ca="1" si="163"/>
        <v>21414.271611127428</v>
      </c>
      <c r="R467" s="3">
        <f t="shared" ca="1" si="164"/>
        <v>23166.529293894477</v>
      </c>
      <c r="S467" s="3">
        <f t="shared" ca="1" si="165"/>
        <v>487679.31450854643</v>
      </c>
      <c r="T467" s="3">
        <f t="shared" ca="1" si="166"/>
        <v>460956.09210829274</v>
      </c>
      <c r="U467" s="5">
        <f t="shared" ca="1" si="167"/>
        <v>26723.222400253697</v>
      </c>
    </row>
    <row r="468" spans="1:21" x14ac:dyDescent="0.35">
      <c r="A468">
        <f t="shared" ca="1" si="149"/>
        <v>2</v>
      </c>
      <c r="B468" s="4" t="str">
        <f t="shared" ca="1" si="147"/>
        <v>F</v>
      </c>
      <c r="C468" s="3">
        <f t="shared" ca="1" si="150"/>
        <v>3</v>
      </c>
      <c r="D468" s="3">
        <f t="shared" ca="1" si="148"/>
        <v>32</v>
      </c>
      <c r="E468" s="3" t="str">
        <f t="shared" ca="1" si="151"/>
        <v>IT</v>
      </c>
      <c r="F468" s="3">
        <f t="shared" ca="1" si="152"/>
        <v>6</v>
      </c>
      <c r="G468" s="3" t="str">
        <f t="shared" ca="1" si="153"/>
        <v>Doctorate</v>
      </c>
      <c r="H468" s="3">
        <f t="shared" ca="1" si="154"/>
        <v>3</v>
      </c>
      <c r="I468" s="3">
        <f t="shared" ca="1" si="155"/>
        <v>3</v>
      </c>
      <c r="J468" s="3">
        <f t="shared" ca="1" si="156"/>
        <v>19</v>
      </c>
      <c r="K468" s="3" t="str">
        <f t="shared" ca="1" si="157"/>
        <v>Mizoram</v>
      </c>
      <c r="L468" s="3">
        <f t="shared" ca="1" si="158"/>
        <v>46126</v>
      </c>
      <c r="M468" s="3">
        <f t="shared" ca="1" si="159"/>
        <v>276756</v>
      </c>
      <c r="N468" s="3">
        <f t="shared" ca="1" si="160"/>
        <v>61410.220258679721</v>
      </c>
      <c r="O468" s="3">
        <f t="shared" ca="1" si="161"/>
        <v>74294.943814793703</v>
      </c>
      <c r="P468" s="3">
        <f t="shared" ca="1" si="162"/>
        <v>71045.766139368847</v>
      </c>
      <c r="Q468" s="3">
        <f t="shared" ca="1" si="163"/>
        <v>42736.211025296951</v>
      </c>
      <c r="R468" s="3">
        <f t="shared" ca="1" si="164"/>
        <v>28163.873421196702</v>
      </c>
      <c r="S468" s="3">
        <f t="shared" ca="1" si="165"/>
        <v>379214.81723599043</v>
      </c>
      <c r="T468" s="3">
        <f t="shared" ca="1" si="166"/>
        <v>175192.19742334553</v>
      </c>
      <c r="U468" s="5">
        <f t="shared" ca="1" si="167"/>
        <v>204022.6198126449</v>
      </c>
    </row>
    <row r="469" spans="1:21" x14ac:dyDescent="0.35">
      <c r="A469">
        <f t="shared" ca="1" si="149"/>
        <v>2</v>
      </c>
      <c r="B469" s="4" t="str">
        <f t="shared" ca="1" si="147"/>
        <v>F</v>
      </c>
      <c r="C469" s="3">
        <f t="shared" ca="1" si="150"/>
        <v>3</v>
      </c>
      <c r="D469" s="3">
        <f t="shared" ca="1" si="148"/>
        <v>31</v>
      </c>
      <c r="E469" s="3" t="str">
        <f t="shared" ca="1" si="151"/>
        <v>IT</v>
      </c>
      <c r="F469" s="3">
        <f t="shared" ca="1" si="152"/>
        <v>1</v>
      </c>
      <c r="G469" s="3" t="str">
        <f t="shared" ca="1" si="153"/>
        <v>Secondary</v>
      </c>
      <c r="H469" s="3">
        <f t="shared" ca="1" si="154"/>
        <v>2</v>
      </c>
      <c r="I469" s="3">
        <f t="shared" ca="1" si="155"/>
        <v>1</v>
      </c>
      <c r="J469" s="3">
        <f t="shared" ca="1" si="156"/>
        <v>2</v>
      </c>
      <c r="K469" s="3" t="str">
        <f t="shared" ca="1" si="157"/>
        <v>Uttar Pradesh</v>
      </c>
      <c r="L469" s="3">
        <f t="shared" ca="1" si="158"/>
        <v>83314</v>
      </c>
      <c r="M469" s="3">
        <f t="shared" ca="1" si="159"/>
        <v>749826</v>
      </c>
      <c r="N469" s="3">
        <f t="shared" ca="1" si="160"/>
        <v>681737.77630911616</v>
      </c>
      <c r="O469" s="3">
        <f t="shared" ca="1" si="161"/>
        <v>43383.812136077286</v>
      </c>
      <c r="P469" s="3">
        <f t="shared" ca="1" si="162"/>
        <v>22737.054578685249</v>
      </c>
      <c r="Q469" s="3">
        <f t="shared" ca="1" si="163"/>
        <v>52371.868983972607</v>
      </c>
      <c r="R469" s="3">
        <f t="shared" ca="1" si="164"/>
        <v>71017.745440950195</v>
      </c>
      <c r="S469" s="3">
        <f t="shared" ca="1" si="165"/>
        <v>864227.55757702747</v>
      </c>
      <c r="T469" s="3">
        <f t="shared" ca="1" si="166"/>
        <v>756846.69987177395</v>
      </c>
      <c r="U469" s="5">
        <f t="shared" ca="1" si="167"/>
        <v>107380.85770525353</v>
      </c>
    </row>
    <row r="470" spans="1:21" x14ac:dyDescent="0.35">
      <c r="A470">
        <f t="shared" ca="1" si="149"/>
        <v>2</v>
      </c>
      <c r="B470" s="4" t="str">
        <f t="shared" ca="1" si="147"/>
        <v>F</v>
      </c>
      <c r="C470" s="3">
        <f t="shared" ca="1" si="150"/>
        <v>4</v>
      </c>
      <c r="D470" s="3">
        <f t="shared" ca="1" si="148"/>
        <v>39</v>
      </c>
      <c r="E470" s="3" t="str">
        <f t="shared" ca="1" si="151"/>
        <v>Accounting</v>
      </c>
      <c r="F470" s="3">
        <f t="shared" ca="1" si="152"/>
        <v>6</v>
      </c>
      <c r="G470" s="3" t="str">
        <f t="shared" ca="1" si="153"/>
        <v>Doctorate</v>
      </c>
      <c r="H470" s="3">
        <f t="shared" ca="1" si="154"/>
        <v>3</v>
      </c>
      <c r="I470" s="3">
        <f t="shared" ca="1" si="155"/>
        <v>2</v>
      </c>
      <c r="J470" s="3">
        <f t="shared" ca="1" si="156"/>
        <v>21</v>
      </c>
      <c r="K470" s="3" t="str">
        <f t="shared" ca="1" si="157"/>
        <v>Odisha</v>
      </c>
      <c r="L470" s="3">
        <f t="shared" ca="1" si="158"/>
        <v>67212</v>
      </c>
      <c r="M470" s="3">
        <f t="shared" ca="1" si="159"/>
        <v>336060</v>
      </c>
      <c r="N470" s="3">
        <f t="shared" ca="1" si="160"/>
        <v>279717.38790066977</v>
      </c>
      <c r="O470" s="3">
        <f t="shared" ca="1" si="161"/>
        <v>21327.187900828849</v>
      </c>
      <c r="P470" s="3">
        <f t="shared" ca="1" si="162"/>
        <v>19931.163323297951</v>
      </c>
      <c r="Q470" s="3">
        <f t="shared" ca="1" si="163"/>
        <v>9806.6579684772314</v>
      </c>
      <c r="R470" s="3">
        <f t="shared" ca="1" si="164"/>
        <v>41715.510410467759</v>
      </c>
      <c r="S470" s="3">
        <f t="shared" ca="1" si="165"/>
        <v>399102.69831129658</v>
      </c>
      <c r="T470" s="3">
        <f t="shared" ca="1" si="166"/>
        <v>309455.20919244492</v>
      </c>
      <c r="U470" s="5">
        <f t="shared" ca="1" si="167"/>
        <v>89647.489118851663</v>
      </c>
    </row>
    <row r="471" spans="1:21" x14ac:dyDescent="0.35">
      <c r="A471">
        <f t="shared" ca="1" si="149"/>
        <v>1</v>
      </c>
      <c r="B471" s="4" t="str">
        <f t="shared" ca="1" si="147"/>
        <v>M</v>
      </c>
      <c r="C471" s="3">
        <f t="shared" ca="1" si="150"/>
        <v>7</v>
      </c>
      <c r="D471" s="3">
        <f t="shared" ca="1" si="148"/>
        <v>21</v>
      </c>
      <c r="E471" s="3" t="str">
        <f t="shared" ca="1" si="151"/>
        <v>Other</v>
      </c>
      <c r="F471" s="3">
        <f t="shared" ca="1" si="152"/>
        <v>7</v>
      </c>
      <c r="G471" s="3" t="str">
        <f t="shared" ca="1" si="153"/>
        <v>Other</v>
      </c>
      <c r="H471" s="3">
        <f t="shared" ca="1" si="154"/>
        <v>0</v>
      </c>
      <c r="I471" s="3">
        <f t="shared" ca="1" si="155"/>
        <v>0</v>
      </c>
      <c r="J471" s="3">
        <f t="shared" ca="1" si="156"/>
        <v>18</v>
      </c>
      <c r="K471" s="3" t="str">
        <f t="shared" ca="1" si="157"/>
        <v>Meghalya</v>
      </c>
      <c r="L471" s="3">
        <f t="shared" ca="1" si="158"/>
        <v>92008</v>
      </c>
      <c r="M471" s="3">
        <f t="shared" ca="1" si="159"/>
        <v>644056</v>
      </c>
      <c r="N471" s="3">
        <f t="shared" ca="1" si="160"/>
        <v>98709.90480695256</v>
      </c>
      <c r="O471" s="3">
        <f t="shared" ca="1" si="161"/>
        <v>0</v>
      </c>
      <c r="P471" s="3">
        <f t="shared" ca="1" si="162"/>
        <v>0</v>
      </c>
      <c r="Q471" s="3">
        <f t="shared" ca="1" si="163"/>
        <v>87102.655430202038</v>
      </c>
      <c r="R471" s="3">
        <f t="shared" ca="1" si="164"/>
        <v>39697.324787390397</v>
      </c>
      <c r="S471" s="3">
        <f t="shared" ca="1" si="165"/>
        <v>683753.32478739042</v>
      </c>
      <c r="T471" s="3">
        <f t="shared" ca="1" si="166"/>
        <v>185812.5602371546</v>
      </c>
      <c r="U471" s="5">
        <f t="shared" ca="1" si="167"/>
        <v>497940.76455023582</v>
      </c>
    </row>
    <row r="472" spans="1:21" x14ac:dyDescent="0.35">
      <c r="A472">
        <f t="shared" ca="1" si="149"/>
        <v>2</v>
      </c>
      <c r="B472" s="4" t="str">
        <f t="shared" ca="1" si="147"/>
        <v>F</v>
      </c>
      <c r="C472" s="3">
        <f t="shared" ca="1" si="150"/>
        <v>7</v>
      </c>
      <c r="D472" s="3">
        <f t="shared" ca="1" si="148"/>
        <v>37</v>
      </c>
      <c r="E472" s="3" t="str">
        <f t="shared" ca="1" si="151"/>
        <v>Other</v>
      </c>
      <c r="F472" s="3">
        <f t="shared" ca="1" si="152"/>
        <v>6</v>
      </c>
      <c r="G472" s="3" t="str">
        <f t="shared" ca="1" si="153"/>
        <v>Doctorate</v>
      </c>
      <c r="H472" s="3">
        <f t="shared" ca="1" si="154"/>
        <v>0</v>
      </c>
      <c r="I472" s="3">
        <f t="shared" ca="1" si="155"/>
        <v>3</v>
      </c>
      <c r="J472" s="3">
        <f t="shared" ca="1" si="156"/>
        <v>16</v>
      </c>
      <c r="K472" s="3" t="str">
        <f t="shared" ca="1" si="157"/>
        <v>Madhya Pradesh</v>
      </c>
      <c r="L472" s="3">
        <f t="shared" ca="1" si="158"/>
        <v>40894</v>
      </c>
      <c r="M472" s="3">
        <f t="shared" ca="1" si="159"/>
        <v>286258</v>
      </c>
      <c r="N472" s="3">
        <f t="shared" ca="1" si="160"/>
        <v>63047.709705195783</v>
      </c>
      <c r="O472" s="3">
        <f t="shared" ca="1" si="161"/>
        <v>52808.257099591196</v>
      </c>
      <c r="P472" s="3">
        <f t="shared" ca="1" si="162"/>
        <v>3122.6308754145971</v>
      </c>
      <c r="Q472" s="3">
        <f t="shared" ca="1" si="163"/>
        <v>22905.06150324647</v>
      </c>
      <c r="R472" s="3">
        <f t="shared" ca="1" si="164"/>
        <v>19121.452289395358</v>
      </c>
      <c r="S472" s="3">
        <f t="shared" ca="1" si="165"/>
        <v>358187.70938898658</v>
      </c>
      <c r="T472" s="3">
        <f t="shared" ca="1" si="166"/>
        <v>89075.402083856854</v>
      </c>
      <c r="U472" s="5">
        <f t="shared" ca="1" si="167"/>
        <v>269112.30730512971</v>
      </c>
    </row>
    <row r="473" spans="1:21" x14ac:dyDescent="0.35">
      <c r="A473">
        <f t="shared" ca="1" si="149"/>
        <v>1</v>
      </c>
      <c r="B473" s="4" t="str">
        <f t="shared" ca="1" si="147"/>
        <v>M</v>
      </c>
      <c r="C473" s="3">
        <f t="shared" ca="1" si="150"/>
        <v>3</v>
      </c>
      <c r="D473" s="3">
        <f t="shared" ca="1" si="148"/>
        <v>23</v>
      </c>
      <c r="E473" s="3" t="str">
        <f t="shared" ca="1" si="151"/>
        <v>IT</v>
      </c>
      <c r="F473" s="3">
        <f t="shared" ca="1" si="152"/>
        <v>3</v>
      </c>
      <c r="G473" s="3" t="str">
        <f t="shared" ca="1" si="153"/>
        <v>UG</v>
      </c>
      <c r="H473" s="3">
        <f t="shared" ca="1" si="154"/>
        <v>2</v>
      </c>
      <c r="I473" s="3">
        <f t="shared" ca="1" si="155"/>
        <v>3</v>
      </c>
      <c r="J473" s="3">
        <f t="shared" ca="1" si="156"/>
        <v>10</v>
      </c>
      <c r="K473" s="3" t="str">
        <f t="shared" ca="1" si="157"/>
        <v>Gujarat</v>
      </c>
      <c r="L473" s="3">
        <f t="shared" ca="1" si="158"/>
        <v>79816</v>
      </c>
      <c r="M473" s="3">
        <f t="shared" ca="1" si="159"/>
        <v>638528</v>
      </c>
      <c r="N473" s="3">
        <f t="shared" ca="1" si="160"/>
        <v>499156.75009722699</v>
      </c>
      <c r="O473" s="3">
        <f t="shared" ca="1" si="161"/>
        <v>10743.172411171638</v>
      </c>
      <c r="P473" s="3">
        <f t="shared" ca="1" si="162"/>
        <v>1823.8281774353791</v>
      </c>
      <c r="Q473" s="3">
        <f t="shared" ca="1" si="163"/>
        <v>12751.861478519779</v>
      </c>
      <c r="R473" s="3">
        <f t="shared" ca="1" si="164"/>
        <v>47197.581039629236</v>
      </c>
      <c r="S473" s="3">
        <f t="shared" ca="1" si="165"/>
        <v>696468.7534508009</v>
      </c>
      <c r="T473" s="3">
        <f t="shared" ca="1" si="166"/>
        <v>513732.43975318217</v>
      </c>
      <c r="U473" s="5">
        <f t="shared" ca="1" si="167"/>
        <v>182736.31369761872</v>
      </c>
    </row>
    <row r="474" spans="1:21" x14ac:dyDescent="0.35">
      <c r="A474">
        <f t="shared" ca="1" si="149"/>
        <v>2</v>
      </c>
      <c r="B474" s="4" t="str">
        <f t="shared" ca="1" si="147"/>
        <v>F</v>
      </c>
      <c r="C474" s="3">
        <f t="shared" ca="1" si="150"/>
        <v>4</v>
      </c>
      <c r="D474" s="3">
        <f t="shared" ca="1" si="148"/>
        <v>22</v>
      </c>
      <c r="E474" s="3" t="str">
        <f t="shared" ca="1" si="151"/>
        <v>Accounting</v>
      </c>
      <c r="F474" s="3">
        <f t="shared" ca="1" si="152"/>
        <v>3</v>
      </c>
      <c r="G474" s="3" t="str">
        <f t="shared" ca="1" si="153"/>
        <v>UG</v>
      </c>
      <c r="H474" s="3">
        <f t="shared" ca="1" si="154"/>
        <v>2</v>
      </c>
      <c r="I474" s="3">
        <f t="shared" ca="1" si="155"/>
        <v>3</v>
      </c>
      <c r="J474" s="3">
        <f t="shared" ca="1" si="156"/>
        <v>5</v>
      </c>
      <c r="K474" s="3" t="str">
        <f t="shared" ca="1" si="157"/>
        <v>Andhra Pradesh</v>
      </c>
      <c r="L474" s="3">
        <f t="shared" ca="1" si="158"/>
        <v>49374</v>
      </c>
      <c r="M474" s="3">
        <f t="shared" ca="1" si="159"/>
        <v>345618</v>
      </c>
      <c r="N474" s="3">
        <f t="shared" ca="1" si="160"/>
        <v>158719.28205738947</v>
      </c>
      <c r="O474" s="3">
        <f t="shared" ca="1" si="161"/>
        <v>67375.555945457978</v>
      </c>
      <c r="P474" s="3">
        <f t="shared" ca="1" si="162"/>
        <v>57240.022919193652</v>
      </c>
      <c r="Q474" s="3">
        <f t="shared" ca="1" si="163"/>
        <v>24273.157796911924</v>
      </c>
      <c r="R474" s="3">
        <f t="shared" ca="1" si="164"/>
        <v>35622.538667678906</v>
      </c>
      <c r="S474" s="3">
        <f t="shared" ca="1" si="165"/>
        <v>448616.0946131369</v>
      </c>
      <c r="T474" s="3">
        <f t="shared" ca="1" si="166"/>
        <v>240232.46277349503</v>
      </c>
      <c r="U474" s="5">
        <f t="shared" ca="1" si="167"/>
        <v>208383.63183964186</v>
      </c>
    </row>
    <row r="475" spans="1:21" x14ac:dyDescent="0.35">
      <c r="A475">
        <f t="shared" ca="1" si="149"/>
        <v>2</v>
      </c>
      <c r="B475" s="4" t="str">
        <f t="shared" ca="1" si="147"/>
        <v>F</v>
      </c>
      <c r="C475" s="3">
        <f t="shared" ca="1" si="150"/>
        <v>5</v>
      </c>
      <c r="D475" s="3">
        <f t="shared" ca="1" si="148"/>
        <v>27</v>
      </c>
      <c r="E475" s="3" t="str">
        <f t="shared" ca="1" si="151"/>
        <v>Research</v>
      </c>
      <c r="F475" s="3">
        <f t="shared" ca="1" si="152"/>
        <v>3</v>
      </c>
      <c r="G475" s="3" t="str">
        <f t="shared" ca="1" si="153"/>
        <v>UG</v>
      </c>
      <c r="H475" s="3">
        <f t="shared" ca="1" si="154"/>
        <v>1</v>
      </c>
      <c r="I475" s="3">
        <f t="shared" ca="1" si="155"/>
        <v>2</v>
      </c>
      <c r="J475" s="3">
        <f t="shared" ca="1" si="156"/>
        <v>17</v>
      </c>
      <c r="K475" s="3" t="str">
        <f t="shared" ca="1" si="157"/>
        <v xml:space="preserve">Manipur </v>
      </c>
      <c r="L475" s="3">
        <f t="shared" ca="1" si="158"/>
        <v>85886</v>
      </c>
      <c r="M475" s="3">
        <f t="shared" ca="1" si="159"/>
        <v>772974</v>
      </c>
      <c r="N475" s="3">
        <f t="shared" ca="1" si="160"/>
        <v>521867.89120968553</v>
      </c>
      <c r="O475" s="3">
        <f t="shared" ca="1" si="161"/>
        <v>138342.92372706908</v>
      </c>
      <c r="P475" s="3">
        <f t="shared" ca="1" si="162"/>
        <v>64147.957189614353</v>
      </c>
      <c r="Q475" s="3">
        <f t="shared" ca="1" si="163"/>
        <v>43657.447304533758</v>
      </c>
      <c r="R475" s="3">
        <f t="shared" ca="1" si="164"/>
        <v>40019.628516089608</v>
      </c>
      <c r="S475" s="3">
        <f t="shared" ca="1" si="165"/>
        <v>951336.55224315869</v>
      </c>
      <c r="T475" s="3">
        <f t="shared" ca="1" si="166"/>
        <v>629673.29570383369</v>
      </c>
      <c r="U475" s="5">
        <f t="shared" ca="1" si="167"/>
        <v>321663.256539325</v>
      </c>
    </row>
    <row r="476" spans="1:21" x14ac:dyDescent="0.35">
      <c r="A476">
        <f t="shared" ca="1" si="149"/>
        <v>1</v>
      </c>
      <c r="B476" s="4" t="str">
        <f t="shared" ca="1" si="147"/>
        <v>M</v>
      </c>
      <c r="C476" s="3">
        <f t="shared" ca="1" si="150"/>
        <v>1</v>
      </c>
      <c r="D476" s="3">
        <f t="shared" ca="1" si="148"/>
        <v>40</v>
      </c>
      <c r="E476" s="3" t="str">
        <f t="shared" ca="1" si="151"/>
        <v>Engineering</v>
      </c>
      <c r="F476" s="3">
        <f t="shared" ca="1" si="152"/>
        <v>5</v>
      </c>
      <c r="G476" s="3" t="str">
        <f t="shared" ca="1" si="153"/>
        <v>Diploma</v>
      </c>
      <c r="H476" s="3">
        <f t="shared" ca="1" si="154"/>
        <v>4</v>
      </c>
      <c r="I476" s="3">
        <f t="shared" ca="1" si="155"/>
        <v>0</v>
      </c>
      <c r="J476" s="3">
        <f t="shared" ca="1" si="156"/>
        <v>1</v>
      </c>
      <c r="K476" s="3" t="str">
        <f t="shared" ca="1" si="157"/>
        <v>Haryana</v>
      </c>
      <c r="L476" s="3">
        <f t="shared" ca="1" si="158"/>
        <v>46649</v>
      </c>
      <c r="M476" s="3">
        <f t="shared" ca="1" si="159"/>
        <v>279894</v>
      </c>
      <c r="N476" s="3">
        <f t="shared" ca="1" si="160"/>
        <v>106321.21902356067</v>
      </c>
      <c r="O476" s="3">
        <f t="shared" ca="1" si="161"/>
        <v>0</v>
      </c>
      <c r="P476" s="3">
        <f t="shared" ca="1" si="162"/>
        <v>0</v>
      </c>
      <c r="Q476" s="3">
        <f t="shared" ca="1" si="163"/>
        <v>33726.007689470753</v>
      </c>
      <c r="R476" s="3">
        <f t="shared" ca="1" si="164"/>
        <v>32211.396404796822</v>
      </c>
      <c r="S476" s="3">
        <f t="shared" ca="1" si="165"/>
        <v>312105.3964047968</v>
      </c>
      <c r="T476" s="3">
        <f t="shared" ca="1" si="166"/>
        <v>140047.22671303141</v>
      </c>
      <c r="U476" s="5">
        <f t="shared" ca="1" si="167"/>
        <v>172058.16969176539</v>
      </c>
    </row>
    <row r="477" spans="1:21" x14ac:dyDescent="0.35">
      <c r="A477">
        <f t="shared" ca="1" si="149"/>
        <v>1</v>
      </c>
      <c r="B477" s="4" t="str">
        <f t="shared" ca="1" si="147"/>
        <v>M</v>
      </c>
      <c r="C477" s="3">
        <f t="shared" ca="1" si="150"/>
        <v>6</v>
      </c>
      <c r="D477" s="3">
        <f t="shared" ca="1" si="148"/>
        <v>45</v>
      </c>
      <c r="E477" s="3" t="str">
        <f t="shared" ca="1" si="151"/>
        <v>Art</v>
      </c>
      <c r="F477" s="3">
        <f t="shared" ca="1" si="152"/>
        <v>6</v>
      </c>
      <c r="G477" s="3" t="str">
        <f t="shared" ca="1" si="153"/>
        <v>Doctorate</v>
      </c>
      <c r="H477" s="3">
        <f t="shared" ca="1" si="154"/>
        <v>0</v>
      </c>
      <c r="I477" s="3">
        <f t="shared" ca="1" si="155"/>
        <v>0</v>
      </c>
      <c r="J477" s="3">
        <f t="shared" ca="1" si="156"/>
        <v>3</v>
      </c>
      <c r="K477" s="3" t="str">
        <f t="shared" ca="1" si="157"/>
        <v>Punjab</v>
      </c>
      <c r="L477" s="3">
        <f t="shared" ca="1" si="158"/>
        <v>36188</v>
      </c>
      <c r="M477" s="3">
        <f t="shared" ca="1" si="159"/>
        <v>325692</v>
      </c>
      <c r="N477" s="3">
        <f t="shared" ca="1" si="160"/>
        <v>242401.65171395018</v>
      </c>
      <c r="O477" s="3">
        <f t="shared" ca="1" si="161"/>
        <v>0</v>
      </c>
      <c r="P477" s="3">
        <f t="shared" ca="1" si="162"/>
        <v>0</v>
      </c>
      <c r="Q477" s="3">
        <f t="shared" ca="1" si="163"/>
        <v>9039.7685629579064</v>
      </c>
      <c r="R477" s="3">
        <f t="shared" ca="1" si="164"/>
        <v>5507.1098184211414</v>
      </c>
      <c r="S477" s="3">
        <f t="shared" ca="1" si="165"/>
        <v>331199.10981842113</v>
      </c>
      <c r="T477" s="3">
        <f t="shared" ca="1" si="166"/>
        <v>251441.42027690809</v>
      </c>
      <c r="U477" s="5">
        <f t="shared" ca="1" si="167"/>
        <v>79757.689541513042</v>
      </c>
    </row>
    <row r="478" spans="1:21" x14ac:dyDescent="0.35">
      <c r="A478">
        <f t="shared" ca="1" si="149"/>
        <v>2</v>
      </c>
      <c r="B478" s="4" t="str">
        <f t="shared" ca="1" si="147"/>
        <v>F</v>
      </c>
      <c r="C478" s="3">
        <f t="shared" ca="1" si="150"/>
        <v>2</v>
      </c>
      <c r="D478" s="3">
        <f t="shared" ca="1" si="148"/>
        <v>37</v>
      </c>
      <c r="E478" s="3" t="str">
        <f t="shared" ca="1" si="151"/>
        <v>Healthcare</v>
      </c>
      <c r="F478" s="3">
        <f t="shared" ca="1" si="152"/>
        <v>7</v>
      </c>
      <c r="G478" s="3" t="str">
        <f t="shared" ca="1" si="153"/>
        <v>Other</v>
      </c>
      <c r="H478" s="3">
        <f t="shared" ca="1" si="154"/>
        <v>1</v>
      </c>
      <c r="I478" s="3">
        <f t="shared" ca="1" si="155"/>
        <v>0</v>
      </c>
      <c r="J478" s="3">
        <f t="shared" ca="1" si="156"/>
        <v>23</v>
      </c>
      <c r="K478" s="3" t="str">
        <f t="shared" ca="1" si="157"/>
        <v>Sikkim</v>
      </c>
      <c r="L478" s="3">
        <f t="shared" ca="1" si="158"/>
        <v>91138</v>
      </c>
      <c r="M478" s="3">
        <f t="shared" ca="1" si="159"/>
        <v>637966</v>
      </c>
      <c r="N478" s="3">
        <f t="shared" ca="1" si="160"/>
        <v>493470.92914478574</v>
      </c>
      <c r="O478" s="3">
        <f t="shared" ca="1" si="161"/>
        <v>0</v>
      </c>
      <c r="P478" s="3">
        <f t="shared" ca="1" si="162"/>
        <v>0</v>
      </c>
      <c r="Q478" s="3">
        <f t="shared" ca="1" si="163"/>
        <v>33082.559141930113</v>
      </c>
      <c r="R478" s="3">
        <f t="shared" ca="1" si="164"/>
        <v>46425.608214911139</v>
      </c>
      <c r="S478" s="3">
        <f t="shared" ca="1" si="165"/>
        <v>684391.60821491119</v>
      </c>
      <c r="T478" s="3">
        <f t="shared" ca="1" si="166"/>
        <v>526553.48828671582</v>
      </c>
      <c r="U478" s="5">
        <f t="shared" ca="1" si="167"/>
        <v>157838.11992819537</v>
      </c>
    </row>
    <row r="479" spans="1:21" x14ac:dyDescent="0.35">
      <c r="A479">
        <f t="shared" ca="1" si="149"/>
        <v>1</v>
      </c>
      <c r="B479" s="4" t="str">
        <f t="shared" ca="1" si="147"/>
        <v>M</v>
      </c>
      <c r="C479" s="3">
        <f t="shared" ca="1" si="150"/>
        <v>5</v>
      </c>
      <c r="D479" s="3">
        <f t="shared" ca="1" si="148"/>
        <v>30</v>
      </c>
      <c r="E479" s="3" t="str">
        <f t="shared" ca="1" si="151"/>
        <v>Research</v>
      </c>
      <c r="F479" s="3">
        <f t="shared" ca="1" si="152"/>
        <v>3</v>
      </c>
      <c r="G479" s="3" t="str">
        <f t="shared" ca="1" si="153"/>
        <v>UG</v>
      </c>
      <c r="H479" s="3">
        <f t="shared" ca="1" si="154"/>
        <v>4</v>
      </c>
      <c r="I479" s="3">
        <f t="shared" ca="1" si="155"/>
        <v>3</v>
      </c>
      <c r="J479" s="3">
        <f t="shared" ca="1" si="156"/>
        <v>14</v>
      </c>
      <c r="K479" s="3" t="str">
        <f t="shared" ca="1" si="157"/>
        <v>Karnataka</v>
      </c>
      <c r="L479" s="3">
        <f t="shared" ca="1" si="158"/>
        <v>61960</v>
      </c>
      <c r="M479" s="3">
        <f t="shared" ca="1" si="159"/>
        <v>495680</v>
      </c>
      <c r="N479" s="3">
        <f t="shared" ca="1" si="160"/>
        <v>94183.210286831207</v>
      </c>
      <c r="O479" s="3">
        <f t="shared" ca="1" si="161"/>
        <v>154095.60983607406</v>
      </c>
      <c r="P479" s="3">
        <f t="shared" ca="1" si="162"/>
        <v>9422.8005848354369</v>
      </c>
      <c r="Q479" s="3">
        <f t="shared" ca="1" si="163"/>
        <v>50229.845128178378</v>
      </c>
      <c r="R479" s="3">
        <f t="shared" ca="1" si="164"/>
        <v>33116.572891030024</v>
      </c>
      <c r="S479" s="3">
        <f t="shared" ca="1" si="165"/>
        <v>682892.18272710405</v>
      </c>
      <c r="T479" s="3">
        <f t="shared" ca="1" si="166"/>
        <v>153835.85599984502</v>
      </c>
      <c r="U479" s="5">
        <f t="shared" ca="1" si="167"/>
        <v>529056.32672725897</v>
      </c>
    </row>
    <row r="480" spans="1:21" x14ac:dyDescent="0.35">
      <c r="A480">
        <f t="shared" ca="1" si="149"/>
        <v>1</v>
      </c>
      <c r="B480" s="4" t="str">
        <f t="shared" ca="1" si="147"/>
        <v>M</v>
      </c>
      <c r="C480" s="3">
        <f t="shared" ca="1" si="150"/>
        <v>1</v>
      </c>
      <c r="D480" s="3">
        <f t="shared" ca="1" si="148"/>
        <v>19</v>
      </c>
      <c r="E480" s="3" t="str">
        <f t="shared" ca="1" si="151"/>
        <v>Engineering</v>
      </c>
      <c r="F480" s="3">
        <f t="shared" ca="1" si="152"/>
        <v>3</v>
      </c>
      <c r="G480" s="3" t="str">
        <f t="shared" ca="1" si="153"/>
        <v>UG</v>
      </c>
      <c r="H480" s="3">
        <f t="shared" ca="1" si="154"/>
        <v>0</v>
      </c>
      <c r="I480" s="3">
        <f t="shared" ca="1" si="155"/>
        <v>3</v>
      </c>
      <c r="J480" s="3">
        <f t="shared" ca="1" si="156"/>
        <v>16</v>
      </c>
      <c r="K480" s="3" t="str">
        <f t="shared" ca="1" si="157"/>
        <v>Madhya Pradesh</v>
      </c>
      <c r="L480" s="3">
        <f t="shared" ca="1" si="158"/>
        <v>95676</v>
      </c>
      <c r="M480" s="3">
        <f t="shared" ca="1" si="159"/>
        <v>478380</v>
      </c>
      <c r="N480" s="3">
        <f t="shared" ca="1" si="160"/>
        <v>392114.86982831167</v>
      </c>
      <c r="O480" s="3">
        <f t="shared" ca="1" si="161"/>
        <v>99768.036158843694</v>
      </c>
      <c r="P480" s="3">
        <f t="shared" ca="1" si="162"/>
        <v>44601.232325396406</v>
      </c>
      <c r="Q480" s="3">
        <f t="shared" ca="1" si="163"/>
        <v>89636.921324540512</v>
      </c>
      <c r="R480" s="3">
        <f t="shared" ca="1" si="164"/>
        <v>61146.279531891589</v>
      </c>
      <c r="S480" s="3">
        <f t="shared" ca="1" si="165"/>
        <v>639294.31569073524</v>
      </c>
      <c r="T480" s="3">
        <f t="shared" ca="1" si="166"/>
        <v>526353.02347824862</v>
      </c>
      <c r="U480" s="5">
        <f t="shared" ca="1" si="167"/>
        <v>112941.29221248662</v>
      </c>
    </row>
    <row r="481" spans="1:21" x14ac:dyDescent="0.35">
      <c r="A481">
        <f t="shared" ca="1" si="149"/>
        <v>2</v>
      </c>
      <c r="B481" s="4" t="str">
        <f t="shared" ca="1" si="147"/>
        <v>F</v>
      </c>
      <c r="C481" s="3">
        <f t="shared" ca="1" si="150"/>
        <v>2</v>
      </c>
      <c r="D481" s="3">
        <f t="shared" ca="1" si="148"/>
        <v>27</v>
      </c>
      <c r="E481" s="3" t="str">
        <f t="shared" ca="1" si="151"/>
        <v>Healthcare</v>
      </c>
      <c r="F481" s="3">
        <f t="shared" ca="1" si="152"/>
        <v>5</v>
      </c>
      <c r="G481" s="3" t="str">
        <f t="shared" ca="1" si="153"/>
        <v>Diploma</v>
      </c>
      <c r="H481" s="3">
        <f t="shared" ca="1" si="154"/>
        <v>2</v>
      </c>
      <c r="I481" s="3">
        <f t="shared" ca="1" si="155"/>
        <v>1</v>
      </c>
      <c r="J481" s="3">
        <f t="shared" ca="1" si="156"/>
        <v>19</v>
      </c>
      <c r="K481" s="3" t="str">
        <f t="shared" ca="1" si="157"/>
        <v>Mizoram</v>
      </c>
      <c r="L481" s="3">
        <f t="shared" ca="1" si="158"/>
        <v>53704</v>
      </c>
      <c r="M481" s="3">
        <f t="shared" ca="1" si="159"/>
        <v>483336</v>
      </c>
      <c r="N481" s="3">
        <f t="shared" ca="1" si="160"/>
        <v>54078.824551132202</v>
      </c>
      <c r="O481" s="3">
        <f t="shared" ca="1" si="161"/>
        <v>25689.985480291663</v>
      </c>
      <c r="P481" s="3">
        <f t="shared" ca="1" si="162"/>
        <v>3044.4403899718886</v>
      </c>
      <c r="Q481" s="3">
        <f t="shared" ca="1" si="163"/>
        <v>27853.978875678549</v>
      </c>
      <c r="R481" s="3">
        <f t="shared" ca="1" si="164"/>
        <v>49925.213653565843</v>
      </c>
      <c r="S481" s="3">
        <f t="shared" ca="1" si="165"/>
        <v>558951.1991338575</v>
      </c>
      <c r="T481" s="3">
        <f t="shared" ca="1" si="166"/>
        <v>84977.243816782633</v>
      </c>
      <c r="U481" s="5">
        <f t="shared" ca="1" si="167"/>
        <v>473973.9553170749</v>
      </c>
    </row>
    <row r="482" spans="1:21" x14ac:dyDescent="0.35">
      <c r="A482">
        <f t="shared" ca="1" si="149"/>
        <v>2</v>
      </c>
      <c r="B482" s="4" t="str">
        <f t="shared" ca="1" si="147"/>
        <v>F</v>
      </c>
      <c r="C482" s="3">
        <f t="shared" ca="1" si="150"/>
        <v>6</v>
      </c>
      <c r="D482" s="3">
        <f t="shared" ca="1" si="148"/>
        <v>42</v>
      </c>
      <c r="E482" s="3" t="str">
        <f t="shared" ca="1" si="151"/>
        <v>Art</v>
      </c>
      <c r="F482" s="3">
        <f t="shared" ca="1" si="152"/>
        <v>1</v>
      </c>
      <c r="G482" s="3" t="str">
        <f t="shared" ca="1" si="153"/>
        <v>Secondary</v>
      </c>
      <c r="H482" s="3">
        <f t="shared" ca="1" si="154"/>
        <v>4</v>
      </c>
      <c r="I482" s="3">
        <f t="shared" ca="1" si="155"/>
        <v>0</v>
      </c>
      <c r="J482" s="3">
        <f t="shared" ca="1" si="156"/>
        <v>19</v>
      </c>
      <c r="K482" s="3" t="str">
        <f t="shared" ca="1" si="157"/>
        <v>Mizoram</v>
      </c>
      <c r="L482" s="3">
        <f t="shared" ca="1" si="158"/>
        <v>66206</v>
      </c>
      <c r="M482" s="3">
        <f t="shared" ca="1" si="159"/>
        <v>397236</v>
      </c>
      <c r="N482" s="3">
        <f t="shared" ca="1" si="160"/>
        <v>83285.109168294526</v>
      </c>
      <c r="O482" s="3">
        <f t="shared" ca="1" si="161"/>
        <v>0</v>
      </c>
      <c r="P482" s="3">
        <f t="shared" ca="1" si="162"/>
        <v>0</v>
      </c>
      <c r="Q482" s="3">
        <f t="shared" ca="1" si="163"/>
        <v>11524.567654699997</v>
      </c>
      <c r="R482" s="3">
        <f t="shared" ca="1" si="164"/>
        <v>61445.705179815348</v>
      </c>
      <c r="S482" s="3">
        <f t="shared" ca="1" si="165"/>
        <v>458681.70517981536</v>
      </c>
      <c r="T482" s="3">
        <f t="shared" ca="1" si="166"/>
        <v>94809.676822994516</v>
      </c>
      <c r="U482" s="5">
        <f t="shared" ca="1" si="167"/>
        <v>363872.02835682081</v>
      </c>
    </row>
    <row r="483" spans="1:21" x14ac:dyDescent="0.35">
      <c r="A483">
        <f t="shared" ca="1" si="149"/>
        <v>2</v>
      </c>
      <c r="B483" s="4" t="str">
        <f t="shared" ca="1" si="147"/>
        <v>F</v>
      </c>
      <c r="C483" s="3">
        <f t="shared" ca="1" si="150"/>
        <v>2</v>
      </c>
      <c r="D483" s="3">
        <f t="shared" ca="1" si="148"/>
        <v>33</v>
      </c>
      <c r="E483" s="3" t="str">
        <f t="shared" ca="1" si="151"/>
        <v>Healthcare</v>
      </c>
      <c r="F483" s="3">
        <f t="shared" ca="1" si="152"/>
        <v>4</v>
      </c>
      <c r="G483" s="3" t="str">
        <f t="shared" ca="1" si="153"/>
        <v>PG</v>
      </c>
      <c r="H483" s="3">
        <f t="shared" ca="1" si="154"/>
        <v>3</v>
      </c>
      <c r="I483" s="3">
        <f t="shared" ca="1" si="155"/>
        <v>0</v>
      </c>
      <c r="J483" s="3">
        <f t="shared" ca="1" si="156"/>
        <v>6</v>
      </c>
      <c r="K483" s="3" t="str">
        <f t="shared" ca="1" si="157"/>
        <v>Arunachal Pradesh</v>
      </c>
      <c r="L483" s="3">
        <f t="shared" ca="1" si="158"/>
        <v>27036</v>
      </c>
      <c r="M483" s="3">
        <f t="shared" ca="1" si="159"/>
        <v>162216</v>
      </c>
      <c r="N483" s="3">
        <f t="shared" ca="1" si="160"/>
        <v>85385.419991494171</v>
      </c>
      <c r="O483" s="3">
        <f t="shared" ca="1" si="161"/>
        <v>0</v>
      </c>
      <c r="P483" s="3">
        <f t="shared" ca="1" si="162"/>
        <v>0</v>
      </c>
      <c r="Q483" s="3">
        <f t="shared" ca="1" si="163"/>
        <v>14662.195364062847</v>
      </c>
      <c r="R483" s="3">
        <f t="shared" ca="1" si="164"/>
        <v>10906.409946931271</v>
      </c>
      <c r="S483" s="3">
        <f t="shared" ca="1" si="165"/>
        <v>173122.40994693126</v>
      </c>
      <c r="T483" s="3">
        <f t="shared" ca="1" si="166"/>
        <v>100047.61535555702</v>
      </c>
      <c r="U483" s="5">
        <f t="shared" ca="1" si="167"/>
        <v>73074.794591374244</v>
      </c>
    </row>
    <row r="484" spans="1:21" x14ac:dyDescent="0.35">
      <c r="A484">
        <f t="shared" ca="1" si="149"/>
        <v>1</v>
      </c>
      <c r="B484" s="4" t="str">
        <f t="shared" ca="1" si="147"/>
        <v>M</v>
      </c>
      <c r="C484" s="3">
        <f t="shared" ca="1" si="150"/>
        <v>6</v>
      </c>
      <c r="D484" s="3">
        <f t="shared" ca="1" si="148"/>
        <v>18</v>
      </c>
      <c r="E484" s="3" t="str">
        <f t="shared" ca="1" si="151"/>
        <v>Art</v>
      </c>
      <c r="F484" s="3">
        <f t="shared" ca="1" si="152"/>
        <v>7</v>
      </c>
      <c r="G484" s="3" t="str">
        <f t="shared" ca="1" si="153"/>
        <v>Other</v>
      </c>
      <c r="H484" s="3">
        <f t="shared" ca="1" si="154"/>
        <v>1</v>
      </c>
      <c r="I484" s="3">
        <f t="shared" ca="1" si="155"/>
        <v>0</v>
      </c>
      <c r="J484" s="3">
        <f t="shared" ca="1" si="156"/>
        <v>26</v>
      </c>
      <c r="K484" s="3" t="str">
        <f t="shared" ca="1" si="157"/>
        <v>Tripura</v>
      </c>
      <c r="L484" s="3">
        <f t="shared" ca="1" si="158"/>
        <v>76889</v>
      </c>
      <c r="M484" s="3">
        <f t="shared" ca="1" si="159"/>
        <v>461334</v>
      </c>
      <c r="N484" s="3">
        <f t="shared" ca="1" si="160"/>
        <v>47067.96968314275</v>
      </c>
      <c r="O484" s="3">
        <f t="shared" ca="1" si="161"/>
        <v>0</v>
      </c>
      <c r="P484" s="3">
        <f t="shared" ca="1" si="162"/>
        <v>0</v>
      </c>
      <c r="Q484" s="3">
        <f t="shared" ca="1" si="163"/>
        <v>61106.708918122604</v>
      </c>
      <c r="R484" s="3">
        <f t="shared" ca="1" si="164"/>
        <v>54028.897994022962</v>
      </c>
      <c r="S484" s="3">
        <f t="shared" ca="1" si="165"/>
        <v>515362.89799402293</v>
      </c>
      <c r="T484" s="3">
        <f t="shared" ca="1" si="166"/>
        <v>108174.67860126536</v>
      </c>
      <c r="U484" s="5">
        <f t="shared" ca="1" si="167"/>
        <v>407188.21939275757</v>
      </c>
    </row>
    <row r="485" spans="1:21" x14ac:dyDescent="0.35">
      <c r="A485">
        <f t="shared" ca="1" si="149"/>
        <v>1</v>
      </c>
      <c r="B485" s="4" t="str">
        <f t="shared" ca="1" si="147"/>
        <v>M</v>
      </c>
      <c r="C485" s="3">
        <f t="shared" ca="1" si="150"/>
        <v>5</v>
      </c>
      <c r="D485" s="3">
        <f t="shared" ca="1" si="148"/>
        <v>27</v>
      </c>
      <c r="E485" s="3" t="str">
        <f t="shared" ca="1" si="151"/>
        <v>Research</v>
      </c>
      <c r="F485" s="3">
        <f t="shared" ca="1" si="152"/>
        <v>2</v>
      </c>
      <c r="G485" s="3" t="str">
        <f t="shared" ca="1" si="153"/>
        <v>Senior Secondary</v>
      </c>
      <c r="H485" s="3">
        <f t="shared" ca="1" si="154"/>
        <v>4</v>
      </c>
      <c r="I485" s="3">
        <f t="shared" ca="1" si="155"/>
        <v>2</v>
      </c>
      <c r="J485" s="3">
        <f t="shared" ca="1" si="156"/>
        <v>23</v>
      </c>
      <c r="K485" s="3" t="str">
        <f t="shared" ca="1" si="157"/>
        <v>Sikkim</v>
      </c>
      <c r="L485" s="3">
        <f t="shared" ca="1" si="158"/>
        <v>61980</v>
      </c>
      <c r="M485" s="3">
        <f t="shared" ca="1" si="159"/>
        <v>433860</v>
      </c>
      <c r="N485" s="3">
        <f t="shared" ca="1" si="160"/>
        <v>275955.54262067191</v>
      </c>
      <c r="O485" s="3">
        <f t="shared" ca="1" si="161"/>
        <v>65624.478468739966</v>
      </c>
      <c r="P485" s="3">
        <f t="shared" ca="1" si="162"/>
        <v>54714.167692304894</v>
      </c>
      <c r="Q485" s="3">
        <f t="shared" ca="1" si="163"/>
        <v>31384.31781773884</v>
      </c>
      <c r="R485" s="3">
        <f t="shared" ca="1" si="164"/>
        <v>6719.9778670448641</v>
      </c>
      <c r="S485" s="3">
        <f t="shared" ca="1" si="165"/>
        <v>506204.45633578481</v>
      </c>
      <c r="T485" s="3">
        <f t="shared" ca="1" si="166"/>
        <v>362054.02813071565</v>
      </c>
      <c r="U485" s="5">
        <f t="shared" ca="1" si="167"/>
        <v>144150.42820506915</v>
      </c>
    </row>
    <row r="486" spans="1:21" x14ac:dyDescent="0.35">
      <c r="A486">
        <f t="shared" ca="1" si="149"/>
        <v>2</v>
      </c>
      <c r="B486" s="4" t="str">
        <f t="shared" ca="1" si="147"/>
        <v>F</v>
      </c>
      <c r="C486" s="3">
        <f t="shared" ca="1" si="150"/>
        <v>2</v>
      </c>
      <c r="D486" s="3">
        <f t="shared" ca="1" si="148"/>
        <v>26</v>
      </c>
      <c r="E486" s="3" t="str">
        <f t="shared" ca="1" si="151"/>
        <v>Healthcare</v>
      </c>
      <c r="F486" s="3">
        <f t="shared" ca="1" si="152"/>
        <v>6</v>
      </c>
      <c r="G486" s="3" t="str">
        <f t="shared" ca="1" si="153"/>
        <v>Doctorate</v>
      </c>
      <c r="H486" s="3">
        <f t="shared" ca="1" si="154"/>
        <v>1</v>
      </c>
      <c r="I486" s="3">
        <f t="shared" ca="1" si="155"/>
        <v>1</v>
      </c>
      <c r="J486" s="3">
        <f t="shared" ca="1" si="156"/>
        <v>18</v>
      </c>
      <c r="K486" s="3" t="str">
        <f t="shared" ca="1" si="157"/>
        <v>Meghalya</v>
      </c>
      <c r="L486" s="3">
        <f t="shared" ca="1" si="158"/>
        <v>81147</v>
      </c>
      <c r="M486" s="3">
        <f t="shared" ca="1" si="159"/>
        <v>730323</v>
      </c>
      <c r="N486" s="3">
        <f t="shared" ca="1" si="160"/>
        <v>355750.03251327935</v>
      </c>
      <c r="O486" s="3">
        <f t="shared" ca="1" si="161"/>
        <v>19132.909940352238</v>
      </c>
      <c r="P486" s="3">
        <f t="shared" ca="1" si="162"/>
        <v>14595.934065111491</v>
      </c>
      <c r="Q486" s="3">
        <f t="shared" ca="1" si="163"/>
        <v>50047.200966930774</v>
      </c>
      <c r="R486" s="3">
        <f t="shared" ca="1" si="164"/>
        <v>37159.515986077648</v>
      </c>
      <c r="S486" s="3">
        <f t="shared" ca="1" si="165"/>
        <v>786615.4259264298</v>
      </c>
      <c r="T486" s="3">
        <f t="shared" ca="1" si="166"/>
        <v>420393.16754532163</v>
      </c>
      <c r="U486" s="5">
        <f t="shared" ca="1" si="167"/>
        <v>366222.25838110817</v>
      </c>
    </row>
    <row r="487" spans="1:21" x14ac:dyDescent="0.35">
      <c r="A487">
        <f t="shared" ca="1" si="149"/>
        <v>1</v>
      </c>
      <c r="B487" s="4" t="str">
        <f t="shared" ca="1" si="147"/>
        <v>M</v>
      </c>
      <c r="C487" s="3">
        <f t="shared" ca="1" si="150"/>
        <v>5</v>
      </c>
      <c r="D487" s="3">
        <f t="shared" ca="1" si="148"/>
        <v>39</v>
      </c>
      <c r="E487" s="3" t="str">
        <f t="shared" ca="1" si="151"/>
        <v>Research</v>
      </c>
      <c r="F487" s="3">
        <f t="shared" ca="1" si="152"/>
        <v>5</v>
      </c>
      <c r="G487" s="3" t="str">
        <f t="shared" ca="1" si="153"/>
        <v>Diploma</v>
      </c>
      <c r="H487" s="3">
        <f t="shared" ca="1" si="154"/>
        <v>3</v>
      </c>
      <c r="I487" s="3">
        <f t="shared" ca="1" si="155"/>
        <v>0</v>
      </c>
      <c r="J487" s="3">
        <f t="shared" ca="1" si="156"/>
        <v>28</v>
      </c>
      <c r="K487" s="3" t="str">
        <f t="shared" ca="1" si="157"/>
        <v>West Bengal</v>
      </c>
      <c r="L487" s="3">
        <f t="shared" ca="1" si="158"/>
        <v>57617</v>
      </c>
      <c r="M487" s="3">
        <f t="shared" ca="1" si="159"/>
        <v>518553</v>
      </c>
      <c r="N487" s="3">
        <f t="shared" ca="1" si="160"/>
        <v>253500.25008067637</v>
      </c>
      <c r="O487" s="3">
        <f t="shared" ca="1" si="161"/>
        <v>0</v>
      </c>
      <c r="P487" s="3">
        <f t="shared" ca="1" si="162"/>
        <v>0</v>
      </c>
      <c r="Q487" s="3">
        <f t="shared" ca="1" si="163"/>
        <v>44369.380865113824</v>
      </c>
      <c r="R487" s="3">
        <f t="shared" ca="1" si="164"/>
        <v>32586.129391407692</v>
      </c>
      <c r="S487" s="3">
        <f t="shared" ca="1" si="165"/>
        <v>551139.12939140771</v>
      </c>
      <c r="T487" s="3">
        <f t="shared" ca="1" si="166"/>
        <v>297869.63094579021</v>
      </c>
      <c r="U487" s="5">
        <f t="shared" ca="1" si="167"/>
        <v>253269.4984456175</v>
      </c>
    </row>
    <row r="488" spans="1:21" x14ac:dyDescent="0.35">
      <c r="A488">
        <f t="shared" ca="1" si="149"/>
        <v>2</v>
      </c>
      <c r="B488" s="4" t="str">
        <f t="shared" ca="1" si="147"/>
        <v>F</v>
      </c>
      <c r="C488" s="3">
        <f t="shared" ca="1" si="150"/>
        <v>2</v>
      </c>
      <c r="D488" s="3">
        <f t="shared" ca="1" si="148"/>
        <v>24</v>
      </c>
      <c r="E488" s="3" t="str">
        <f t="shared" ca="1" si="151"/>
        <v>Healthcare</v>
      </c>
      <c r="F488" s="3">
        <f t="shared" ca="1" si="152"/>
        <v>5</v>
      </c>
      <c r="G488" s="3" t="str">
        <f t="shared" ca="1" si="153"/>
        <v>Diploma</v>
      </c>
      <c r="H488" s="3">
        <f t="shared" ca="1" si="154"/>
        <v>0</v>
      </c>
      <c r="I488" s="3">
        <f t="shared" ca="1" si="155"/>
        <v>0</v>
      </c>
      <c r="J488" s="3">
        <f t="shared" ca="1" si="156"/>
        <v>19</v>
      </c>
      <c r="K488" s="3" t="str">
        <f t="shared" ca="1" si="157"/>
        <v>Mizoram</v>
      </c>
      <c r="L488" s="3">
        <f t="shared" ca="1" si="158"/>
        <v>39326</v>
      </c>
      <c r="M488" s="3">
        <f t="shared" ca="1" si="159"/>
        <v>196630</v>
      </c>
      <c r="N488" s="3">
        <f t="shared" ca="1" si="160"/>
        <v>185175.74839079747</v>
      </c>
      <c r="O488" s="3">
        <f t="shared" ca="1" si="161"/>
        <v>0</v>
      </c>
      <c r="P488" s="3">
        <f t="shared" ca="1" si="162"/>
        <v>0</v>
      </c>
      <c r="Q488" s="3">
        <f t="shared" ca="1" si="163"/>
        <v>1598.0071676789273</v>
      </c>
      <c r="R488" s="3">
        <f t="shared" ca="1" si="164"/>
        <v>8074.6834322593795</v>
      </c>
      <c r="S488" s="3">
        <f t="shared" ca="1" si="165"/>
        <v>204704.68343225939</v>
      </c>
      <c r="T488" s="3">
        <f t="shared" ca="1" si="166"/>
        <v>186773.7555584764</v>
      </c>
      <c r="U488" s="5">
        <f t="shared" ca="1" si="167"/>
        <v>17930.927873782988</v>
      </c>
    </row>
    <row r="489" spans="1:21" x14ac:dyDescent="0.35">
      <c r="A489">
        <f t="shared" ca="1" si="149"/>
        <v>2</v>
      </c>
      <c r="B489" s="4" t="str">
        <f t="shared" ca="1" si="147"/>
        <v>F</v>
      </c>
      <c r="C489" s="3">
        <f t="shared" ca="1" si="150"/>
        <v>7</v>
      </c>
      <c r="D489" s="3">
        <f t="shared" ca="1" si="148"/>
        <v>37</v>
      </c>
      <c r="E489" s="3" t="str">
        <f t="shared" ca="1" si="151"/>
        <v>Other</v>
      </c>
      <c r="F489" s="3">
        <f t="shared" ca="1" si="152"/>
        <v>4</v>
      </c>
      <c r="G489" s="3" t="str">
        <f t="shared" ca="1" si="153"/>
        <v>PG</v>
      </c>
      <c r="H489" s="3">
        <f t="shared" ca="1" si="154"/>
        <v>0</v>
      </c>
      <c r="I489" s="3">
        <f t="shared" ca="1" si="155"/>
        <v>0</v>
      </c>
      <c r="J489" s="3">
        <f t="shared" ca="1" si="156"/>
        <v>24</v>
      </c>
      <c r="K489" s="3" t="str">
        <f t="shared" ca="1" si="157"/>
        <v>Tamil Nadu</v>
      </c>
      <c r="L489" s="3">
        <f t="shared" ca="1" si="158"/>
        <v>84792</v>
      </c>
      <c r="M489" s="3">
        <f t="shared" ca="1" si="159"/>
        <v>593544</v>
      </c>
      <c r="N489" s="3">
        <f t="shared" ca="1" si="160"/>
        <v>566067.13050521549</v>
      </c>
      <c r="O489" s="3">
        <f t="shared" ca="1" si="161"/>
        <v>0</v>
      </c>
      <c r="P489" s="3">
        <f t="shared" ca="1" si="162"/>
        <v>0</v>
      </c>
      <c r="Q489" s="3">
        <f t="shared" ca="1" si="163"/>
        <v>80776.847828842612</v>
      </c>
      <c r="R489" s="3">
        <f t="shared" ca="1" si="164"/>
        <v>45196.15726787904</v>
      </c>
      <c r="S489" s="3">
        <f t="shared" ca="1" si="165"/>
        <v>638740.157267879</v>
      </c>
      <c r="T489" s="3">
        <f t="shared" ca="1" si="166"/>
        <v>646843.97833405808</v>
      </c>
      <c r="U489" s="5">
        <f t="shared" ca="1" si="167"/>
        <v>-8103.8210661790799</v>
      </c>
    </row>
    <row r="490" spans="1:21" x14ac:dyDescent="0.35">
      <c r="A490">
        <f t="shared" ca="1" si="149"/>
        <v>1</v>
      </c>
      <c r="B490" s="4" t="str">
        <f t="shared" ca="1" si="147"/>
        <v>M</v>
      </c>
      <c r="C490" s="3">
        <f t="shared" ca="1" si="150"/>
        <v>3</v>
      </c>
      <c r="D490" s="3">
        <f t="shared" ca="1" si="148"/>
        <v>25</v>
      </c>
      <c r="E490" s="3" t="str">
        <f t="shared" ca="1" si="151"/>
        <v>IT</v>
      </c>
      <c r="F490" s="3">
        <f t="shared" ca="1" si="152"/>
        <v>7</v>
      </c>
      <c r="G490" s="3" t="str">
        <f t="shared" ca="1" si="153"/>
        <v>Other</v>
      </c>
      <c r="H490" s="3">
        <f t="shared" ca="1" si="154"/>
        <v>0</v>
      </c>
      <c r="I490" s="3">
        <f t="shared" ca="1" si="155"/>
        <v>0</v>
      </c>
      <c r="J490" s="3">
        <f t="shared" ca="1" si="156"/>
        <v>28</v>
      </c>
      <c r="K490" s="3" t="str">
        <f t="shared" ca="1" si="157"/>
        <v>West Bengal</v>
      </c>
      <c r="L490" s="3">
        <f t="shared" ca="1" si="158"/>
        <v>69184</v>
      </c>
      <c r="M490" s="3">
        <f t="shared" ca="1" si="159"/>
        <v>345920</v>
      </c>
      <c r="N490" s="3">
        <f t="shared" ca="1" si="160"/>
        <v>6183.8956060999762</v>
      </c>
      <c r="O490" s="3">
        <f t="shared" ca="1" si="161"/>
        <v>0</v>
      </c>
      <c r="P490" s="3">
        <f t="shared" ca="1" si="162"/>
        <v>0</v>
      </c>
      <c r="Q490" s="3">
        <f t="shared" ca="1" si="163"/>
        <v>56793.094599308286</v>
      </c>
      <c r="R490" s="3">
        <f t="shared" ca="1" si="164"/>
        <v>40863.390640288249</v>
      </c>
      <c r="S490" s="3">
        <f t="shared" ca="1" si="165"/>
        <v>386783.39064028824</v>
      </c>
      <c r="T490" s="3">
        <f t="shared" ca="1" si="166"/>
        <v>62976.990205408263</v>
      </c>
      <c r="U490" s="5">
        <f t="shared" ca="1" si="167"/>
        <v>323806.40043487999</v>
      </c>
    </row>
    <row r="491" spans="1:21" x14ac:dyDescent="0.35">
      <c r="A491">
        <f t="shared" ca="1" si="149"/>
        <v>2</v>
      </c>
      <c r="B491" s="4" t="str">
        <f t="shared" ca="1" si="147"/>
        <v>F</v>
      </c>
      <c r="C491" s="3">
        <f t="shared" ca="1" si="150"/>
        <v>3</v>
      </c>
      <c r="D491" s="3">
        <f t="shared" ca="1" si="148"/>
        <v>25</v>
      </c>
      <c r="E491" s="3" t="str">
        <f t="shared" ca="1" si="151"/>
        <v>IT</v>
      </c>
      <c r="F491" s="3">
        <f t="shared" ca="1" si="152"/>
        <v>5</v>
      </c>
      <c r="G491" s="3" t="str">
        <f t="shared" ca="1" si="153"/>
        <v>Diploma</v>
      </c>
      <c r="H491" s="3">
        <f t="shared" ca="1" si="154"/>
        <v>1</v>
      </c>
      <c r="I491" s="3">
        <f t="shared" ca="1" si="155"/>
        <v>3</v>
      </c>
      <c r="J491" s="3">
        <f t="shared" ca="1" si="156"/>
        <v>20</v>
      </c>
      <c r="K491" s="3" t="str">
        <f t="shared" ca="1" si="157"/>
        <v>Nagaland</v>
      </c>
      <c r="L491" s="3">
        <f t="shared" ca="1" si="158"/>
        <v>69852</v>
      </c>
      <c r="M491" s="3">
        <f t="shared" ca="1" si="159"/>
        <v>628668</v>
      </c>
      <c r="N491" s="3">
        <f t="shared" ca="1" si="160"/>
        <v>205226.67105047539</v>
      </c>
      <c r="O491" s="3">
        <f t="shared" ca="1" si="161"/>
        <v>133397.63539689506</v>
      </c>
      <c r="P491" s="3">
        <f t="shared" ca="1" si="162"/>
        <v>88547.764735048942</v>
      </c>
      <c r="Q491" s="3">
        <f t="shared" ca="1" si="163"/>
        <v>47940.803020014442</v>
      </c>
      <c r="R491" s="3">
        <f t="shared" ca="1" si="164"/>
        <v>10940.832902933316</v>
      </c>
      <c r="S491" s="3">
        <f t="shared" ca="1" si="165"/>
        <v>773006.46829982835</v>
      </c>
      <c r="T491" s="3">
        <f t="shared" ca="1" si="166"/>
        <v>341715.23880553874</v>
      </c>
      <c r="U491" s="5">
        <f t="shared" ca="1" si="167"/>
        <v>431291.22949428961</v>
      </c>
    </row>
    <row r="492" spans="1:21" x14ac:dyDescent="0.35">
      <c r="A492">
        <f t="shared" ca="1" si="149"/>
        <v>2</v>
      </c>
      <c r="B492" s="4" t="str">
        <f t="shared" ca="1" si="147"/>
        <v>F</v>
      </c>
      <c r="C492" s="3">
        <f t="shared" ca="1" si="150"/>
        <v>4</v>
      </c>
      <c r="D492" s="3">
        <f t="shared" ca="1" si="148"/>
        <v>28</v>
      </c>
      <c r="E492" s="3" t="str">
        <f t="shared" ca="1" si="151"/>
        <v>Accounting</v>
      </c>
      <c r="F492" s="3">
        <f t="shared" ca="1" si="152"/>
        <v>4</v>
      </c>
      <c r="G492" s="3" t="str">
        <f t="shared" ca="1" si="153"/>
        <v>PG</v>
      </c>
      <c r="H492" s="3">
        <f t="shared" ca="1" si="154"/>
        <v>4</v>
      </c>
      <c r="I492" s="3">
        <f t="shared" ca="1" si="155"/>
        <v>3</v>
      </c>
      <c r="J492" s="3">
        <f t="shared" ca="1" si="156"/>
        <v>13</v>
      </c>
      <c r="K492" s="3" t="str">
        <f t="shared" ca="1" si="157"/>
        <v>Jharkhand</v>
      </c>
      <c r="L492" s="3">
        <f t="shared" ca="1" si="158"/>
        <v>38340</v>
      </c>
      <c r="M492" s="3">
        <f t="shared" ca="1" si="159"/>
        <v>230040</v>
      </c>
      <c r="N492" s="3">
        <f t="shared" ca="1" si="160"/>
        <v>59481.632476009698</v>
      </c>
      <c r="O492" s="3">
        <f t="shared" ca="1" si="161"/>
        <v>51862.785940933194</v>
      </c>
      <c r="P492" s="3">
        <f t="shared" ca="1" si="162"/>
        <v>35632.127410895242</v>
      </c>
      <c r="Q492" s="3">
        <f t="shared" ca="1" si="163"/>
        <v>15852.997986057087</v>
      </c>
      <c r="R492" s="3">
        <f t="shared" ca="1" si="164"/>
        <v>23496.503697175413</v>
      </c>
      <c r="S492" s="3">
        <f t="shared" ca="1" si="165"/>
        <v>305399.28963810863</v>
      </c>
      <c r="T492" s="3">
        <f t="shared" ca="1" si="166"/>
        <v>110966.75787296203</v>
      </c>
      <c r="U492" s="5">
        <f t="shared" ca="1" si="167"/>
        <v>194432.53176514659</v>
      </c>
    </row>
    <row r="493" spans="1:21" x14ac:dyDescent="0.35">
      <c r="A493">
        <f t="shared" ca="1" si="149"/>
        <v>1</v>
      </c>
      <c r="B493" s="4" t="str">
        <f t="shared" ca="1" si="147"/>
        <v>M</v>
      </c>
      <c r="C493" s="3">
        <f t="shared" ca="1" si="150"/>
        <v>4</v>
      </c>
      <c r="D493" s="3">
        <f t="shared" ca="1" si="148"/>
        <v>40</v>
      </c>
      <c r="E493" s="3" t="str">
        <f t="shared" ca="1" si="151"/>
        <v>Accounting</v>
      </c>
      <c r="F493" s="3">
        <f t="shared" ca="1" si="152"/>
        <v>3</v>
      </c>
      <c r="G493" s="3" t="str">
        <f t="shared" ca="1" si="153"/>
        <v>UG</v>
      </c>
      <c r="H493" s="3">
        <f t="shared" ca="1" si="154"/>
        <v>3</v>
      </c>
      <c r="I493" s="3">
        <f t="shared" ca="1" si="155"/>
        <v>0</v>
      </c>
      <c r="J493" s="3">
        <f t="shared" ca="1" si="156"/>
        <v>7</v>
      </c>
      <c r="K493" s="3" t="str">
        <f t="shared" ca="1" si="157"/>
        <v>Assam</v>
      </c>
      <c r="L493" s="3">
        <f t="shared" ca="1" si="158"/>
        <v>89850</v>
      </c>
      <c r="M493" s="3">
        <f t="shared" ca="1" si="159"/>
        <v>449250</v>
      </c>
      <c r="N493" s="3">
        <f t="shared" ca="1" si="160"/>
        <v>179320.4063939378</v>
      </c>
      <c r="O493" s="3">
        <f t="shared" ca="1" si="161"/>
        <v>0</v>
      </c>
      <c r="P493" s="3">
        <f t="shared" ca="1" si="162"/>
        <v>0</v>
      </c>
      <c r="Q493" s="3">
        <f t="shared" ca="1" si="163"/>
        <v>41159.665693145689</v>
      </c>
      <c r="R493" s="3">
        <f t="shared" ca="1" si="164"/>
        <v>65223.345764207959</v>
      </c>
      <c r="S493" s="3">
        <f t="shared" ca="1" si="165"/>
        <v>514473.34576420794</v>
      </c>
      <c r="T493" s="3">
        <f t="shared" ca="1" si="166"/>
        <v>220480.07208708348</v>
      </c>
      <c r="U493" s="5">
        <f t="shared" ca="1" si="167"/>
        <v>293993.27367712447</v>
      </c>
    </row>
    <row r="494" spans="1:21" x14ac:dyDescent="0.35">
      <c r="A494">
        <f t="shared" ca="1" si="149"/>
        <v>1</v>
      </c>
      <c r="B494" s="4" t="str">
        <f t="shared" ca="1" si="147"/>
        <v>M</v>
      </c>
      <c r="C494" s="3">
        <f t="shared" ca="1" si="150"/>
        <v>6</v>
      </c>
      <c r="D494" s="3">
        <f t="shared" ca="1" si="148"/>
        <v>43</v>
      </c>
      <c r="E494" s="3" t="str">
        <f t="shared" ca="1" si="151"/>
        <v>Art</v>
      </c>
      <c r="F494" s="3">
        <f t="shared" ca="1" si="152"/>
        <v>1</v>
      </c>
      <c r="G494" s="3" t="str">
        <f t="shared" ca="1" si="153"/>
        <v>Secondary</v>
      </c>
      <c r="H494" s="3">
        <f t="shared" ca="1" si="154"/>
        <v>2</v>
      </c>
      <c r="I494" s="3">
        <f t="shared" ca="1" si="155"/>
        <v>3</v>
      </c>
      <c r="J494" s="3">
        <f t="shared" ca="1" si="156"/>
        <v>16</v>
      </c>
      <c r="K494" s="3" t="str">
        <f t="shared" ca="1" si="157"/>
        <v>Madhya Pradesh</v>
      </c>
      <c r="L494" s="3">
        <f t="shared" ca="1" si="158"/>
        <v>55453</v>
      </c>
      <c r="M494" s="3">
        <f t="shared" ca="1" si="159"/>
        <v>388171</v>
      </c>
      <c r="N494" s="3">
        <f t="shared" ca="1" si="160"/>
        <v>337496.01082827762</v>
      </c>
      <c r="O494" s="3">
        <f t="shared" ca="1" si="161"/>
        <v>24667.367196858864</v>
      </c>
      <c r="P494" s="3">
        <f t="shared" ca="1" si="162"/>
        <v>10460.339885317697</v>
      </c>
      <c r="Q494" s="3">
        <f t="shared" ca="1" si="163"/>
        <v>54349.939178935885</v>
      </c>
      <c r="R494" s="3">
        <f t="shared" ca="1" si="164"/>
        <v>16468.216329416431</v>
      </c>
      <c r="S494" s="3">
        <f t="shared" ca="1" si="165"/>
        <v>429306.5835262753</v>
      </c>
      <c r="T494" s="3">
        <f t="shared" ca="1" si="166"/>
        <v>402306.28989253123</v>
      </c>
      <c r="U494" s="5">
        <f t="shared" ca="1" si="167"/>
        <v>27000.293633744062</v>
      </c>
    </row>
    <row r="495" spans="1:21" x14ac:dyDescent="0.35">
      <c r="A495">
        <f t="shared" ca="1" si="149"/>
        <v>2</v>
      </c>
      <c r="B495" s="4" t="str">
        <f t="shared" ca="1" si="147"/>
        <v>F</v>
      </c>
      <c r="C495" s="3">
        <f t="shared" ca="1" si="150"/>
        <v>5</v>
      </c>
      <c r="D495" s="3">
        <f t="shared" ca="1" si="148"/>
        <v>44</v>
      </c>
      <c r="E495" s="3" t="str">
        <f t="shared" ca="1" si="151"/>
        <v>Research</v>
      </c>
      <c r="F495" s="3">
        <f t="shared" ca="1" si="152"/>
        <v>3</v>
      </c>
      <c r="G495" s="3" t="str">
        <f t="shared" ca="1" si="153"/>
        <v>UG</v>
      </c>
      <c r="H495" s="3">
        <f t="shared" ca="1" si="154"/>
        <v>4</v>
      </c>
      <c r="I495" s="3">
        <f t="shared" ca="1" si="155"/>
        <v>1</v>
      </c>
      <c r="J495" s="3">
        <f t="shared" ca="1" si="156"/>
        <v>11</v>
      </c>
      <c r="K495" s="3" t="str">
        <f t="shared" ca="1" si="157"/>
        <v>Goa</v>
      </c>
      <c r="L495" s="3">
        <f t="shared" ca="1" si="158"/>
        <v>86022</v>
      </c>
      <c r="M495" s="3">
        <f t="shared" ca="1" si="159"/>
        <v>688176</v>
      </c>
      <c r="N495" s="3">
        <f t="shared" ca="1" si="160"/>
        <v>671960.64285367948</v>
      </c>
      <c r="O495" s="3">
        <f t="shared" ca="1" si="161"/>
        <v>6632.0018460993806</v>
      </c>
      <c r="P495" s="3">
        <f t="shared" ca="1" si="162"/>
        <v>896.7472820116476</v>
      </c>
      <c r="Q495" s="3">
        <f t="shared" ca="1" si="163"/>
        <v>41389.857281161545</v>
      </c>
      <c r="R495" s="3">
        <f t="shared" ca="1" si="164"/>
        <v>66395.463733380893</v>
      </c>
      <c r="S495" s="3">
        <f t="shared" ca="1" si="165"/>
        <v>761203.46557948028</v>
      </c>
      <c r="T495" s="3">
        <f t="shared" ca="1" si="166"/>
        <v>714247.24741685274</v>
      </c>
      <c r="U495" s="5">
        <f t="shared" ca="1" si="167"/>
        <v>46956.218162627541</v>
      </c>
    </row>
    <row r="496" spans="1:21" x14ac:dyDescent="0.35">
      <c r="A496">
        <f t="shared" ca="1" si="149"/>
        <v>2</v>
      </c>
      <c r="B496" s="4" t="str">
        <f t="shared" ca="1" si="147"/>
        <v>F</v>
      </c>
      <c r="C496" s="3">
        <f t="shared" ca="1" si="150"/>
        <v>4</v>
      </c>
      <c r="D496" s="3">
        <f ca="1">RANDBETWEEN(18,45)</f>
        <v>20</v>
      </c>
      <c r="E496" s="3" t="str">
        <f t="shared" ca="1" si="151"/>
        <v>Accounting</v>
      </c>
      <c r="F496" s="3">
        <f t="shared" ca="1" si="152"/>
        <v>3</v>
      </c>
      <c r="G496" s="3" t="str">
        <f t="shared" ca="1" si="153"/>
        <v>UG</v>
      </c>
      <c r="H496" s="3">
        <f t="shared" ca="1" si="154"/>
        <v>4</v>
      </c>
      <c r="I496" s="3">
        <f t="shared" ca="1" si="155"/>
        <v>0</v>
      </c>
      <c r="J496" s="3">
        <f t="shared" ca="1" si="156"/>
        <v>4</v>
      </c>
      <c r="K496" s="3" t="str">
        <f t="shared" ca="1" si="157"/>
        <v>Maharashtra</v>
      </c>
      <c r="L496" s="3">
        <f t="shared" ca="1" si="158"/>
        <v>67594</v>
      </c>
      <c r="M496" s="3">
        <f t="shared" ca="1" si="159"/>
        <v>337970</v>
      </c>
      <c r="N496" s="3">
        <f t="shared" ca="1" si="160"/>
        <v>14777.274038201036</v>
      </c>
      <c r="O496" s="3">
        <f t="shared" ca="1" si="161"/>
        <v>0</v>
      </c>
      <c r="P496" s="3">
        <f t="shared" ca="1" si="162"/>
        <v>0</v>
      </c>
      <c r="Q496" s="3">
        <f t="shared" ca="1" si="163"/>
        <v>43931.546783489757</v>
      </c>
      <c r="R496" s="3">
        <f t="shared" ca="1" si="164"/>
        <v>19348.297518749539</v>
      </c>
      <c r="S496" s="3">
        <f t="shared" ca="1" si="165"/>
        <v>357318.29751874955</v>
      </c>
      <c r="T496" s="3">
        <f t="shared" ca="1" si="166"/>
        <v>58708.820821690795</v>
      </c>
      <c r="U496" s="5">
        <f t="shared" ca="1" si="167"/>
        <v>298609.47669705877</v>
      </c>
    </row>
    <row r="497" spans="1:21" x14ac:dyDescent="0.35">
      <c r="A497">
        <f t="shared" ca="1" si="149"/>
        <v>1</v>
      </c>
      <c r="B497" s="4" t="str">
        <f t="shared" ca="1" si="147"/>
        <v>M</v>
      </c>
      <c r="C497" s="3">
        <f t="shared" ca="1" si="150"/>
        <v>5</v>
      </c>
      <c r="D497" s="3">
        <f t="shared" ca="1" si="148"/>
        <v>36</v>
      </c>
      <c r="E497" s="3" t="str">
        <f t="shared" ca="1" si="151"/>
        <v>Research</v>
      </c>
      <c r="F497" s="3">
        <f t="shared" ca="1" si="152"/>
        <v>5</v>
      </c>
      <c r="G497" s="3" t="str">
        <f t="shared" ca="1" si="153"/>
        <v>Diploma</v>
      </c>
      <c r="H497" s="3">
        <f t="shared" ca="1" si="154"/>
        <v>4</v>
      </c>
      <c r="I497" s="3">
        <f t="shared" ca="1" si="155"/>
        <v>3</v>
      </c>
      <c r="J497" s="3">
        <f t="shared" ca="1" si="156"/>
        <v>15</v>
      </c>
      <c r="K497" s="3" t="str">
        <f t="shared" ca="1" si="157"/>
        <v>Kerela</v>
      </c>
      <c r="L497" s="3">
        <f t="shared" ca="1" si="158"/>
        <v>97467</v>
      </c>
      <c r="M497" s="3">
        <f t="shared" ca="1" si="159"/>
        <v>877203</v>
      </c>
      <c r="N497" s="3">
        <f t="shared" ca="1" si="160"/>
        <v>363713.41003797925</v>
      </c>
      <c r="O497" s="3">
        <f t="shared" ca="1" si="161"/>
        <v>24685.343963043368</v>
      </c>
      <c r="P497" s="3">
        <f t="shared" ca="1" si="162"/>
        <v>956.68363786380735</v>
      </c>
      <c r="Q497" s="3">
        <f t="shared" ca="1" si="163"/>
        <v>74607.171483945669</v>
      </c>
      <c r="R497" s="3">
        <f t="shared" ca="1" si="164"/>
        <v>76542.33215964082</v>
      </c>
      <c r="S497" s="3">
        <f t="shared" ca="1" si="165"/>
        <v>978430.67612268426</v>
      </c>
      <c r="T497" s="3">
        <f t="shared" ca="1" si="166"/>
        <v>439277.26515978872</v>
      </c>
      <c r="U497" s="5">
        <f t="shared" ca="1" si="167"/>
        <v>539153.41096289549</v>
      </c>
    </row>
    <row r="498" spans="1:21" x14ac:dyDescent="0.35">
      <c r="A498">
        <f t="shared" ca="1" si="149"/>
        <v>1</v>
      </c>
      <c r="B498" s="4" t="str">
        <f t="shared" ca="1" si="147"/>
        <v>M</v>
      </c>
      <c r="C498" s="3">
        <f t="shared" ca="1" si="150"/>
        <v>2</v>
      </c>
      <c r="D498" s="3">
        <f t="shared" ca="1" si="148"/>
        <v>42</v>
      </c>
      <c r="E498" s="3" t="str">
        <f t="shared" ca="1" si="151"/>
        <v>Healthcare</v>
      </c>
      <c r="F498" s="3">
        <f t="shared" ca="1" si="152"/>
        <v>6</v>
      </c>
      <c r="G498" s="3" t="str">
        <f t="shared" ca="1" si="153"/>
        <v>Doctorate</v>
      </c>
      <c r="H498" s="3">
        <f t="shared" ca="1" si="154"/>
        <v>2</v>
      </c>
      <c r="I498" s="3">
        <f t="shared" ca="1" si="155"/>
        <v>3</v>
      </c>
      <c r="J498" s="3">
        <f t="shared" ca="1" si="156"/>
        <v>16</v>
      </c>
      <c r="K498" s="3" t="str">
        <f t="shared" ca="1" si="157"/>
        <v>Madhya Pradesh</v>
      </c>
      <c r="L498" s="3">
        <f t="shared" ca="1" si="158"/>
        <v>66650</v>
      </c>
      <c r="M498" s="3">
        <f t="shared" ca="1" si="159"/>
        <v>533200</v>
      </c>
      <c r="N498" s="3">
        <f t="shared" ca="1" si="160"/>
        <v>51269.551415842638</v>
      </c>
      <c r="O498" s="3">
        <f t="shared" ca="1" si="161"/>
        <v>112780.92540753995</v>
      </c>
      <c r="P498" s="3">
        <f t="shared" ca="1" si="162"/>
        <v>35461.120399293191</v>
      </c>
      <c r="Q498" s="3">
        <f t="shared" ca="1" si="163"/>
        <v>22944.323598849696</v>
      </c>
      <c r="R498" s="3">
        <f t="shared" ca="1" si="164"/>
        <v>14013.856380096326</v>
      </c>
      <c r="S498" s="3">
        <f t="shared" ca="1" si="165"/>
        <v>659994.78178763622</v>
      </c>
      <c r="T498" s="3">
        <f t="shared" ca="1" si="166"/>
        <v>109674.99541398554</v>
      </c>
      <c r="U498" s="5">
        <f t="shared" ca="1" si="167"/>
        <v>550319.78637365066</v>
      </c>
    </row>
    <row r="499" spans="1:21" x14ac:dyDescent="0.35">
      <c r="A499">
        <f t="shared" ca="1" si="149"/>
        <v>1</v>
      </c>
      <c r="B499" s="4" t="str">
        <f t="shared" ca="1" si="147"/>
        <v>M</v>
      </c>
      <c r="C499" s="3">
        <f t="shared" ca="1" si="150"/>
        <v>3</v>
      </c>
      <c r="D499" s="3">
        <f t="shared" ca="1" si="148"/>
        <v>39</v>
      </c>
      <c r="E499" s="3" t="str">
        <f t="shared" ca="1" si="151"/>
        <v>IT</v>
      </c>
      <c r="F499" s="3">
        <f t="shared" ca="1" si="152"/>
        <v>5</v>
      </c>
      <c r="G499" s="3" t="str">
        <f t="shared" ca="1" si="153"/>
        <v>Diploma</v>
      </c>
      <c r="H499" s="3">
        <f t="shared" ca="1" si="154"/>
        <v>4</v>
      </c>
      <c r="I499" s="3">
        <f t="shared" ca="1" si="155"/>
        <v>3</v>
      </c>
      <c r="J499" s="3">
        <f t="shared" ca="1" si="156"/>
        <v>20</v>
      </c>
      <c r="K499" s="3" t="str">
        <f t="shared" ca="1" si="157"/>
        <v>Nagaland</v>
      </c>
      <c r="L499" s="3">
        <f t="shared" ca="1" si="158"/>
        <v>98055</v>
      </c>
      <c r="M499" s="3">
        <f t="shared" ca="1" si="159"/>
        <v>490275</v>
      </c>
      <c r="N499" s="3">
        <f t="shared" ca="1" si="160"/>
        <v>69567.636508786527</v>
      </c>
      <c r="O499" s="3">
        <f t="shared" ca="1" si="161"/>
        <v>138836.16983932094</v>
      </c>
      <c r="P499" s="3">
        <f t="shared" ca="1" si="162"/>
        <v>80201.725578626065</v>
      </c>
      <c r="Q499" s="3">
        <f t="shared" ca="1" si="163"/>
        <v>44898.535687427291</v>
      </c>
      <c r="R499" s="3">
        <f t="shared" ca="1" si="164"/>
        <v>45495.083002034851</v>
      </c>
      <c r="S499" s="3">
        <f t="shared" ca="1" si="165"/>
        <v>674606.25284135574</v>
      </c>
      <c r="T499" s="3">
        <f t="shared" ca="1" si="166"/>
        <v>194667.89777483989</v>
      </c>
      <c r="U499" s="5">
        <f t="shared" ca="1" si="167"/>
        <v>479938.35506651585</v>
      </c>
    </row>
    <row r="500" spans="1:21" x14ac:dyDescent="0.35">
      <c r="A500">
        <f t="shared" ca="1" si="149"/>
        <v>1</v>
      </c>
      <c r="B500" s="4" t="str">
        <f t="shared" ca="1" si="147"/>
        <v>M</v>
      </c>
      <c r="C500" s="3">
        <f t="shared" ca="1" si="150"/>
        <v>2</v>
      </c>
      <c r="D500" s="3">
        <f t="shared" ca="1" si="148"/>
        <v>32</v>
      </c>
      <c r="E500" s="3" t="str">
        <f t="shared" ca="1" si="151"/>
        <v>Healthcare</v>
      </c>
      <c r="F500" s="3">
        <f t="shared" ca="1" si="152"/>
        <v>6</v>
      </c>
      <c r="G500" s="3" t="str">
        <f t="shared" ca="1" si="153"/>
        <v>Doctorate</v>
      </c>
      <c r="H500" s="3">
        <f t="shared" ca="1" si="154"/>
        <v>4</v>
      </c>
      <c r="I500" s="3">
        <f t="shared" ca="1" si="155"/>
        <v>3</v>
      </c>
      <c r="J500" s="3">
        <f t="shared" ca="1" si="156"/>
        <v>27</v>
      </c>
      <c r="K500" s="3" t="str">
        <f t="shared" ca="1" si="157"/>
        <v>Uttrakhand</v>
      </c>
      <c r="L500" s="3">
        <f t="shared" ca="1" si="158"/>
        <v>41129</v>
      </c>
      <c r="M500" s="3">
        <f t="shared" ca="1" si="159"/>
        <v>329032</v>
      </c>
      <c r="N500" s="3">
        <f t="shared" ca="1" si="160"/>
        <v>84845.298922076079</v>
      </c>
      <c r="O500" s="3">
        <f t="shared" ca="1" si="161"/>
        <v>79141.033819345379</v>
      </c>
      <c r="P500" s="3">
        <f t="shared" ca="1" si="162"/>
        <v>12299.043157267275</v>
      </c>
      <c r="Q500" s="3">
        <f t="shared" ca="1" si="163"/>
        <v>36715.302733318116</v>
      </c>
      <c r="R500" s="3">
        <f t="shared" ca="1" si="164"/>
        <v>29354.844052196968</v>
      </c>
      <c r="S500" s="3">
        <f t="shared" ca="1" si="165"/>
        <v>437527.87787154235</v>
      </c>
      <c r="T500" s="3">
        <f t="shared" ca="1" si="166"/>
        <v>133859.64481266149</v>
      </c>
      <c r="U500" s="5">
        <f t="shared" ca="1" si="167"/>
        <v>303668.2330588809</v>
      </c>
    </row>
    <row r="501" spans="1:21" x14ac:dyDescent="0.35">
      <c r="A501">
        <f t="shared" ca="1" si="149"/>
        <v>2</v>
      </c>
      <c r="B501" s="4" t="str">
        <f t="shared" ca="1" si="147"/>
        <v>F</v>
      </c>
      <c r="C501" s="3">
        <f t="shared" ca="1" si="150"/>
        <v>3</v>
      </c>
      <c r="D501" s="3">
        <f t="shared" ca="1" si="148"/>
        <v>41</v>
      </c>
      <c r="E501" s="3" t="str">
        <f t="shared" ca="1" si="151"/>
        <v>IT</v>
      </c>
      <c r="F501" s="3">
        <f t="shared" ca="1" si="152"/>
        <v>4</v>
      </c>
      <c r="G501" s="3" t="str">
        <f t="shared" ca="1" si="153"/>
        <v>PG</v>
      </c>
      <c r="H501" s="3">
        <f t="shared" ca="1" si="154"/>
        <v>3</v>
      </c>
      <c r="I501" s="3">
        <f t="shared" ca="1" si="155"/>
        <v>2</v>
      </c>
      <c r="J501" s="3">
        <f t="shared" ca="1" si="156"/>
        <v>9</v>
      </c>
      <c r="K501" s="3" t="str">
        <f t="shared" ca="1" si="157"/>
        <v>Chhattisgarh</v>
      </c>
      <c r="L501" s="3">
        <f t="shared" ca="1" si="158"/>
        <v>54354</v>
      </c>
      <c r="M501" s="3">
        <f t="shared" ca="1" si="159"/>
        <v>434832</v>
      </c>
      <c r="N501" s="3">
        <f t="shared" ca="1" si="160"/>
        <v>404892.361284493</v>
      </c>
      <c r="O501" s="3">
        <f t="shared" ca="1" si="161"/>
        <v>35895.238710301332</v>
      </c>
      <c r="P501" s="3">
        <f t="shared" ca="1" si="162"/>
        <v>4614.2951350306348</v>
      </c>
      <c r="Q501" s="3">
        <f t="shared" ca="1" si="163"/>
        <v>33153.120181946717</v>
      </c>
      <c r="R501" s="3">
        <f t="shared" ca="1" si="164"/>
        <v>29095.703394917873</v>
      </c>
      <c r="S501" s="3">
        <f t="shared" ca="1" si="165"/>
        <v>499822.94210521923</v>
      </c>
      <c r="T501" s="3">
        <f t="shared" ca="1" si="166"/>
        <v>442659.77660147037</v>
      </c>
      <c r="U501" s="5">
        <f t="shared" ca="1" si="167"/>
        <v>57163.165503748867</v>
      </c>
    </row>
    <row r="502" spans="1:21" x14ac:dyDescent="0.35">
      <c r="A502">
        <f t="shared" ca="1" si="149"/>
        <v>1</v>
      </c>
      <c r="B502" s="4" t="str">
        <f t="shared" ca="1" si="147"/>
        <v>M</v>
      </c>
      <c r="C502" s="3">
        <f t="shared" ca="1" si="150"/>
        <v>4</v>
      </c>
      <c r="D502" s="3">
        <f t="shared" ca="1" si="148"/>
        <v>40</v>
      </c>
      <c r="E502" s="3" t="str">
        <f t="shared" ca="1" si="151"/>
        <v>Accounting</v>
      </c>
      <c r="F502" s="3">
        <f t="shared" ca="1" si="152"/>
        <v>2</v>
      </c>
      <c r="G502" s="3" t="str">
        <f t="shared" ca="1" si="153"/>
        <v>Senior Secondary</v>
      </c>
      <c r="H502" s="3">
        <f t="shared" ca="1" si="154"/>
        <v>1</v>
      </c>
      <c r="I502" s="3">
        <f t="shared" ca="1" si="155"/>
        <v>0</v>
      </c>
      <c r="J502" s="3">
        <f t="shared" ca="1" si="156"/>
        <v>15</v>
      </c>
      <c r="K502" s="3" t="str">
        <f t="shared" ca="1" si="157"/>
        <v>Kerela</v>
      </c>
      <c r="L502" s="3">
        <f t="shared" ca="1" si="158"/>
        <v>74132</v>
      </c>
      <c r="M502" s="3">
        <f t="shared" ca="1" si="159"/>
        <v>593056</v>
      </c>
      <c r="N502" s="3">
        <f t="shared" ca="1" si="160"/>
        <v>342367.95288063382</v>
      </c>
      <c r="O502" s="3">
        <f t="shared" ca="1" si="161"/>
        <v>0</v>
      </c>
      <c r="P502" s="3">
        <f t="shared" ca="1" si="162"/>
        <v>0</v>
      </c>
      <c r="Q502" s="3">
        <f t="shared" ca="1" si="163"/>
        <v>32013.387727525245</v>
      </c>
      <c r="R502" s="3">
        <f t="shared" ca="1" si="164"/>
        <v>25563.938479909546</v>
      </c>
      <c r="S502" s="3">
        <f t="shared" ca="1" si="165"/>
        <v>618619.93847990956</v>
      </c>
      <c r="T502" s="3">
        <f t="shared" ca="1" si="166"/>
        <v>374381.34060815908</v>
      </c>
      <c r="U502" s="5">
        <f t="shared" ca="1" si="167"/>
        <v>244238.59787175048</v>
      </c>
    </row>
    <row r="503" spans="1:21" x14ac:dyDescent="0.35">
      <c r="A503">
        <f t="shared" ca="1" si="149"/>
        <v>1</v>
      </c>
      <c r="B503" s="4" t="str">
        <f t="shared" ca="1" si="147"/>
        <v>M</v>
      </c>
      <c r="C503" s="3">
        <f t="shared" ca="1" si="150"/>
        <v>2</v>
      </c>
      <c r="D503" s="3">
        <f t="shared" ca="1" si="148"/>
        <v>45</v>
      </c>
      <c r="E503" s="3" t="str">
        <f t="shared" ca="1" si="151"/>
        <v>Healthcare</v>
      </c>
      <c r="F503" s="3">
        <f t="shared" ca="1" si="152"/>
        <v>1</v>
      </c>
      <c r="G503" s="3" t="str">
        <f t="shared" ca="1" si="153"/>
        <v>Secondary</v>
      </c>
      <c r="H503" s="3">
        <f t="shared" ca="1" si="154"/>
        <v>3</v>
      </c>
      <c r="I503" s="3">
        <f t="shared" ca="1" si="155"/>
        <v>0</v>
      </c>
      <c r="J503" s="3">
        <f t="shared" ca="1" si="156"/>
        <v>25</v>
      </c>
      <c r="K503" s="3" t="str">
        <f t="shared" ca="1" si="157"/>
        <v>Telangana</v>
      </c>
      <c r="L503" s="3">
        <f t="shared" ca="1" si="158"/>
        <v>28259</v>
      </c>
      <c r="M503" s="3">
        <f t="shared" ca="1" si="159"/>
        <v>141295</v>
      </c>
      <c r="N503" s="3">
        <f t="shared" ca="1" si="160"/>
        <v>72741.923790209432</v>
      </c>
      <c r="O503" s="3">
        <f t="shared" ca="1" si="161"/>
        <v>0</v>
      </c>
      <c r="P503" s="3">
        <f t="shared" ca="1" si="162"/>
        <v>0</v>
      </c>
      <c r="Q503" s="3">
        <f t="shared" ca="1" si="163"/>
        <v>15253.328514218916</v>
      </c>
      <c r="R503" s="3">
        <f t="shared" ca="1" si="164"/>
        <v>6177.9913369933092</v>
      </c>
      <c r="S503" s="3">
        <f t="shared" ca="1" si="165"/>
        <v>147472.99133699332</v>
      </c>
      <c r="T503" s="3">
        <f t="shared" ca="1" si="166"/>
        <v>87995.252304428344</v>
      </c>
      <c r="U503" s="5">
        <f t="shared" ca="1" si="167"/>
        <v>59477.739032564976</v>
      </c>
    </row>
    <row r="504" spans="1:21" x14ac:dyDescent="0.35">
      <c r="A504">
        <f t="shared" ca="1" si="149"/>
        <v>1</v>
      </c>
      <c r="B504" s="4" t="str">
        <f t="shared" ca="1" si="147"/>
        <v>M</v>
      </c>
      <c r="C504" s="3">
        <f t="shared" ca="1" si="150"/>
        <v>3</v>
      </c>
      <c r="D504" s="3">
        <f t="shared" ca="1" si="148"/>
        <v>23</v>
      </c>
      <c r="E504" s="3" t="str">
        <f t="shared" ca="1" si="151"/>
        <v>IT</v>
      </c>
      <c r="F504" s="3">
        <f t="shared" ca="1" si="152"/>
        <v>5</v>
      </c>
      <c r="G504" s="3" t="str">
        <f t="shared" ca="1" si="153"/>
        <v>Diploma</v>
      </c>
      <c r="H504" s="3">
        <f t="shared" ca="1" si="154"/>
        <v>4</v>
      </c>
      <c r="I504" s="3">
        <f t="shared" ca="1" si="155"/>
        <v>2</v>
      </c>
      <c r="J504" s="3">
        <f t="shared" ca="1" si="156"/>
        <v>25</v>
      </c>
      <c r="K504" s="3" t="str">
        <f t="shared" ca="1" si="157"/>
        <v>Telangana</v>
      </c>
      <c r="L504" s="3">
        <f t="shared" ca="1" si="158"/>
        <v>56091</v>
      </c>
      <c r="M504" s="3">
        <f t="shared" ca="1" si="159"/>
        <v>448728</v>
      </c>
      <c r="N504" s="3">
        <f t="shared" ca="1" si="160"/>
        <v>382294.78126646386</v>
      </c>
      <c r="O504" s="3">
        <f t="shared" ca="1" si="161"/>
        <v>25381.123466058692</v>
      </c>
      <c r="P504" s="3">
        <f t="shared" ca="1" si="162"/>
        <v>18772.318454887522</v>
      </c>
      <c r="Q504" s="3">
        <f t="shared" ca="1" si="163"/>
        <v>41054.725556216501</v>
      </c>
      <c r="R504" s="3">
        <f t="shared" ca="1" si="164"/>
        <v>32430.50229544711</v>
      </c>
      <c r="S504" s="3">
        <f t="shared" ca="1" si="165"/>
        <v>506539.6257615058</v>
      </c>
      <c r="T504" s="3">
        <f t="shared" ca="1" si="166"/>
        <v>442121.8252775679</v>
      </c>
      <c r="U504" s="5">
        <f t="shared" ca="1" si="167"/>
        <v>64417.800483937899</v>
      </c>
    </row>
    <row r="505" spans="1:21" x14ac:dyDescent="0.35">
      <c r="A505">
        <f t="shared" ca="1" si="149"/>
        <v>1</v>
      </c>
      <c r="B505" s="4" t="str">
        <f t="shared" ca="1" si="147"/>
        <v>M</v>
      </c>
      <c r="C505" s="3">
        <f t="shared" ca="1" si="150"/>
        <v>3</v>
      </c>
      <c r="D505" s="3">
        <f t="shared" ca="1" si="148"/>
        <v>32</v>
      </c>
      <c r="E505" s="3" t="str">
        <f t="shared" ca="1" si="151"/>
        <v>IT</v>
      </c>
      <c r="F505" s="3">
        <f t="shared" ca="1" si="152"/>
        <v>2</v>
      </c>
      <c r="G505" s="3" t="str">
        <f t="shared" ca="1" si="153"/>
        <v>Senior Secondary</v>
      </c>
      <c r="H505" s="3">
        <f t="shared" ca="1" si="154"/>
        <v>0</v>
      </c>
      <c r="I505" s="3">
        <f t="shared" ca="1" si="155"/>
        <v>0</v>
      </c>
      <c r="J505" s="3">
        <f t="shared" ca="1" si="156"/>
        <v>11</v>
      </c>
      <c r="K505" s="3" t="str">
        <f t="shared" ca="1" si="157"/>
        <v>Goa</v>
      </c>
      <c r="L505" s="3">
        <f t="shared" ca="1" si="158"/>
        <v>29287</v>
      </c>
      <c r="M505" s="3">
        <f t="shared" ca="1" si="159"/>
        <v>175722</v>
      </c>
      <c r="N505" s="3">
        <f t="shared" ca="1" si="160"/>
        <v>158927.33514924295</v>
      </c>
      <c r="O505" s="3">
        <f t="shared" ca="1" si="161"/>
        <v>0</v>
      </c>
      <c r="P505" s="3">
        <f t="shared" ca="1" si="162"/>
        <v>0</v>
      </c>
      <c r="Q505" s="3">
        <f t="shared" ca="1" si="163"/>
        <v>21475.386046190637</v>
      </c>
      <c r="R505" s="3">
        <f t="shared" ca="1" si="164"/>
        <v>24479.345476468101</v>
      </c>
      <c r="S505" s="3">
        <f t="shared" ca="1" si="165"/>
        <v>200201.34547646809</v>
      </c>
      <c r="T505" s="3">
        <f t="shared" ca="1" si="166"/>
        <v>180402.72119543358</v>
      </c>
      <c r="U505" s="5">
        <f t="shared" ca="1" si="167"/>
        <v>19798.624281034514</v>
      </c>
    </row>
    <row r="506" spans="1:21" x14ac:dyDescent="0.35">
      <c r="A506">
        <f t="shared" ca="1" si="149"/>
        <v>1</v>
      </c>
      <c r="B506" s="4" t="str">
        <f t="shared" ca="1" si="147"/>
        <v>M</v>
      </c>
      <c r="C506" s="3">
        <f t="shared" ca="1" si="150"/>
        <v>1</v>
      </c>
      <c r="D506" s="3">
        <f t="shared" ca="1" si="148"/>
        <v>34</v>
      </c>
      <c r="E506" s="3" t="str">
        <f t="shared" ca="1" si="151"/>
        <v>Engineering</v>
      </c>
      <c r="F506" s="3">
        <f t="shared" ca="1" si="152"/>
        <v>3</v>
      </c>
      <c r="G506" s="3" t="str">
        <f t="shared" ca="1" si="153"/>
        <v>UG</v>
      </c>
      <c r="H506" s="3">
        <f t="shared" ca="1" si="154"/>
        <v>1</v>
      </c>
      <c r="I506" s="3">
        <f t="shared" ca="1" si="155"/>
        <v>1</v>
      </c>
      <c r="J506" s="3">
        <f t="shared" ca="1" si="156"/>
        <v>15</v>
      </c>
      <c r="K506" s="3" t="str">
        <f t="shared" ca="1" si="157"/>
        <v>Kerela</v>
      </c>
      <c r="L506" s="3">
        <f t="shared" ca="1" si="158"/>
        <v>34690</v>
      </c>
      <c r="M506" s="3">
        <f t="shared" ca="1" si="159"/>
        <v>208140</v>
      </c>
      <c r="N506" s="3">
        <f t="shared" ca="1" si="160"/>
        <v>203755.47823569496</v>
      </c>
      <c r="O506" s="3">
        <f t="shared" ca="1" si="161"/>
        <v>16574.88848833922</v>
      </c>
      <c r="P506" s="3">
        <f t="shared" ca="1" si="162"/>
        <v>1741.0142955983461</v>
      </c>
      <c r="Q506" s="3">
        <f t="shared" ca="1" si="163"/>
        <v>21972.077292211627</v>
      </c>
      <c r="R506" s="3">
        <f t="shared" ca="1" si="164"/>
        <v>372.73156467073363</v>
      </c>
      <c r="S506" s="3">
        <f t="shared" ca="1" si="165"/>
        <v>225087.62005300997</v>
      </c>
      <c r="T506" s="3">
        <f t="shared" ca="1" si="166"/>
        <v>227468.56982350492</v>
      </c>
      <c r="U506" s="5">
        <f t="shared" ca="1" si="167"/>
        <v>-2380.9497704949463</v>
      </c>
    </row>
    <row r="507" spans="1:21" x14ac:dyDescent="0.35">
      <c r="A507">
        <f t="shared" ca="1" si="149"/>
        <v>1</v>
      </c>
      <c r="B507" s="9" t="str">
        <f t="shared" ca="1" si="147"/>
        <v>M</v>
      </c>
      <c r="C507" s="10">
        <f t="shared" ca="1" si="150"/>
        <v>7</v>
      </c>
      <c r="D507" s="10">
        <f t="shared" ca="1" si="148"/>
        <v>34</v>
      </c>
      <c r="E507" s="10" t="str">
        <f t="shared" ca="1" si="151"/>
        <v>Other</v>
      </c>
      <c r="F507" s="10">
        <f t="shared" ca="1" si="152"/>
        <v>7</v>
      </c>
      <c r="G507" s="10" t="str">
        <f t="shared" ca="1" si="153"/>
        <v>Other</v>
      </c>
      <c r="H507" s="10">
        <f t="shared" ca="1" si="154"/>
        <v>1</v>
      </c>
      <c r="I507" s="10">
        <f t="shared" ca="1" si="155"/>
        <v>1</v>
      </c>
      <c r="J507" s="10">
        <f t="shared" ca="1" si="156"/>
        <v>17</v>
      </c>
      <c r="K507" s="10" t="str">
        <f t="shared" ca="1" si="157"/>
        <v xml:space="preserve">Manipur </v>
      </c>
      <c r="L507" s="10">
        <f t="shared" ca="1" si="158"/>
        <v>35170</v>
      </c>
      <c r="M507" s="10">
        <f t="shared" ca="1" si="159"/>
        <v>211020</v>
      </c>
      <c r="N507" s="10">
        <f t="shared" ca="1" si="160"/>
        <v>33251.857416789528</v>
      </c>
      <c r="O507" s="10">
        <f t="shared" ca="1" si="161"/>
        <v>15163.562034320763</v>
      </c>
      <c r="P507" s="10">
        <f t="shared" ca="1" si="162"/>
        <v>14211.410023797578</v>
      </c>
      <c r="Q507" s="10">
        <f t="shared" ca="1" si="163"/>
        <v>11638.670550322206</v>
      </c>
      <c r="R507" s="10">
        <f t="shared" ca="1" si="164"/>
        <v>2154.2296860491228</v>
      </c>
      <c r="S507" s="10">
        <f t="shared" ca="1" si="165"/>
        <v>228337.79172036989</v>
      </c>
      <c r="T507" s="10">
        <f t="shared" ca="1" si="166"/>
        <v>59101.937990909311</v>
      </c>
      <c r="U507" s="11">
        <f t="shared" ca="1" si="167"/>
        <v>169235.85372946056</v>
      </c>
    </row>
  </sheetData>
  <mergeCells count="4">
    <mergeCell ref="Y6:Z6"/>
    <mergeCell ref="AB6:AC6"/>
    <mergeCell ref="AE6:AF6"/>
    <mergeCell ref="M2:N3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B9BAC-050A-4874-BACB-71EB09F46DED}">
  <dimension ref="A1:AE85"/>
  <sheetViews>
    <sheetView tabSelected="1" topLeftCell="A54" zoomScale="61" zoomScaleNormal="53" workbookViewId="0">
      <selection activeCell="A52" sqref="A52"/>
    </sheetView>
  </sheetViews>
  <sheetFormatPr defaultRowHeight="14.5" x14ac:dyDescent="0.35"/>
  <cols>
    <col min="2" max="3" width="18.90625" customWidth="1"/>
    <col min="5" max="5" width="14.36328125" bestFit="1" customWidth="1"/>
    <col min="6" max="6" width="13.90625" bestFit="1" customWidth="1"/>
    <col min="7" max="7" width="16.08984375" bestFit="1" customWidth="1"/>
    <col min="8" max="8" width="11.36328125" customWidth="1"/>
    <col min="9" max="9" width="10.90625" customWidth="1"/>
    <col min="10" max="10" width="11.26953125" bestFit="1" customWidth="1"/>
    <col min="11" max="11" width="16.26953125" customWidth="1"/>
    <col min="12" max="12" width="11.36328125" customWidth="1"/>
    <col min="13" max="13" width="16.1796875" customWidth="1"/>
    <col min="14" max="14" width="12.08984375" customWidth="1"/>
    <col min="15" max="15" width="21.36328125" customWidth="1"/>
    <col min="16" max="16" width="20.90625" customWidth="1"/>
    <col min="17" max="17" width="17.08984375" bestFit="1" customWidth="1"/>
    <col min="19" max="19" width="16.1796875" customWidth="1"/>
    <col min="20" max="20" width="20.453125" bestFit="1" customWidth="1"/>
    <col min="21" max="21" width="11.7265625" customWidth="1"/>
    <col min="23" max="23" width="11.26953125" customWidth="1"/>
    <col min="25" max="25" width="10.81640625" customWidth="1"/>
    <col min="26" max="26" width="10.1796875" customWidth="1"/>
    <col min="28" max="28" width="11.08984375" customWidth="1"/>
    <col min="29" max="29" width="10.81640625" bestFit="1" customWidth="1"/>
  </cols>
  <sheetData>
    <row r="1" spans="2:31" ht="15" thickBot="1" x14ac:dyDescent="0.4"/>
    <row r="2" spans="2:31" ht="34.5" customHeight="1" thickBot="1" x14ac:dyDescent="0.4">
      <c r="B2" s="5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4" t="s">
        <v>78</v>
      </c>
      <c r="O2" s="55"/>
      <c r="P2" s="56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7"/>
    </row>
    <row r="3" spans="2:31" x14ac:dyDescent="0.35">
      <c r="B3" s="58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60"/>
    </row>
    <row r="4" spans="2:31" ht="15" thickBot="1" x14ac:dyDescent="0.4">
      <c r="B4" s="58"/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61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60"/>
    </row>
    <row r="5" spans="2:31" ht="39" customHeight="1" thickBot="1" x14ac:dyDescent="0.4">
      <c r="B5" s="47" t="s">
        <v>63</v>
      </c>
      <c r="C5" s="48"/>
      <c r="D5" s="59"/>
      <c r="E5" s="31" t="s">
        <v>64</v>
      </c>
      <c r="F5" s="32"/>
      <c r="G5" s="59"/>
      <c r="H5" s="38" t="s">
        <v>68</v>
      </c>
      <c r="I5" s="39"/>
      <c r="J5" s="39"/>
      <c r="K5" s="39"/>
      <c r="L5" s="39"/>
      <c r="M5" s="39"/>
      <c r="N5" s="40"/>
      <c r="O5" s="59"/>
      <c r="P5" s="31" t="s">
        <v>70</v>
      </c>
      <c r="Q5" s="32"/>
      <c r="R5" s="59"/>
      <c r="S5" s="41" t="s">
        <v>75</v>
      </c>
      <c r="T5" s="41"/>
      <c r="U5" s="59"/>
      <c r="V5" s="43" t="s">
        <v>76</v>
      </c>
      <c r="W5" s="43"/>
      <c r="X5" s="43"/>
      <c r="Y5" s="43"/>
      <c r="Z5" s="59"/>
      <c r="AA5" s="45" t="s">
        <v>77</v>
      </c>
      <c r="AB5" s="45"/>
      <c r="AC5" s="45"/>
      <c r="AD5" s="45"/>
      <c r="AE5" s="60"/>
    </row>
    <row r="6" spans="2:31" ht="16" x14ac:dyDescent="0.4">
      <c r="B6" s="12" t="s">
        <v>61</v>
      </c>
      <c r="C6" s="13" t="s">
        <v>62</v>
      </c>
      <c r="D6" s="59"/>
      <c r="E6" s="33">
        <f ca="1">AVERAGE(Population_Data!D7:D507)</f>
        <v>31.50299401197605</v>
      </c>
      <c r="F6" s="34"/>
      <c r="G6" s="59"/>
      <c r="H6" s="21" t="s">
        <v>2</v>
      </c>
      <c r="I6" s="22" t="s">
        <v>6</v>
      </c>
      <c r="J6" s="22" t="s">
        <v>3</v>
      </c>
      <c r="K6" s="22" t="s">
        <v>4</v>
      </c>
      <c r="L6" s="22" t="s">
        <v>5</v>
      </c>
      <c r="M6" s="22" t="s">
        <v>7</v>
      </c>
      <c r="N6" s="23" t="s">
        <v>8</v>
      </c>
      <c r="O6" s="59"/>
      <c r="P6" s="33">
        <f ca="1">AVERAGE(Population_Data!B7:AC507)</f>
        <v>117388.79795748109</v>
      </c>
      <c r="Q6" s="34"/>
      <c r="R6" s="59"/>
      <c r="S6" s="42">
        <f ca="1">T8/S8</f>
        <v>31423.185232468215</v>
      </c>
      <c r="T6" s="42"/>
      <c r="U6" s="59"/>
      <c r="V6" s="44">
        <f ca="1">COUNTIF(Population_Data!T7:T507,"&gt;100000")</f>
        <v>431</v>
      </c>
      <c r="W6" s="44"/>
      <c r="X6" s="44"/>
      <c r="Y6" s="44"/>
      <c r="Z6" s="59"/>
      <c r="AA6" s="46">
        <f ca="1">COUNTIF(Population_Data!N7:N507,"&gt;100000")</f>
        <v>377</v>
      </c>
      <c r="AB6" s="46"/>
      <c r="AC6" s="46"/>
      <c r="AD6" s="46"/>
      <c r="AE6" s="60"/>
    </row>
    <row r="7" spans="2:31" ht="24.5" customHeight="1" thickBot="1" x14ac:dyDescent="0.4">
      <c r="B7" s="14">
        <f ca="1">COUNTIF(Table1[Gender],"M")</f>
        <v>242</v>
      </c>
      <c r="C7" s="15">
        <f ca="1">COUNTIF(Population_Data!B7:B507,"F")</f>
        <v>259</v>
      </c>
      <c r="D7" s="59"/>
      <c r="E7" s="16" t="s">
        <v>66</v>
      </c>
      <c r="F7" s="17" t="s">
        <v>67</v>
      </c>
      <c r="G7" s="59"/>
      <c r="H7" s="24">
        <f ca="1">COUNTIF(Population_Data!E7:E507,Dashboard!H6)</f>
        <v>62</v>
      </c>
      <c r="I7" s="25">
        <f ca="1">COUNTIF(Population_Data!E7:E507,Dashboard!I6)</f>
        <v>75</v>
      </c>
      <c r="J7" s="25">
        <f ca="1">COUNTIF(Population_Data!E7:E507,Dashboard!J6)</f>
        <v>80</v>
      </c>
      <c r="K7" s="25">
        <f ca="1">COUNTIF(Population_Data!E7:E507,Dashboard!K6)</f>
        <v>68</v>
      </c>
      <c r="L7" s="25">
        <f ca="1">COUNTIF(Population_Data!E7:E507,Dashboard!L6)</f>
        <v>82</v>
      </c>
      <c r="M7" s="25">
        <f ca="1">COUNTIF(Population_Data!E7:E507,Dashboard!M6)</f>
        <v>62</v>
      </c>
      <c r="N7" s="26">
        <f ca="1">COUNTIF(Population_Data!E7:E507,Dashboard!N6)</f>
        <v>72</v>
      </c>
      <c r="O7" s="59"/>
      <c r="P7" s="16" t="s">
        <v>72</v>
      </c>
      <c r="Q7" s="17" t="s">
        <v>71</v>
      </c>
      <c r="R7" s="59"/>
      <c r="S7" s="27" t="s">
        <v>73</v>
      </c>
      <c r="T7" s="27" t="s">
        <v>74</v>
      </c>
      <c r="U7" s="59"/>
      <c r="V7" s="59"/>
      <c r="W7" s="59"/>
      <c r="X7" s="59"/>
      <c r="Y7" s="59"/>
      <c r="Z7" s="59"/>
      <c r="AA7" s="59"/>
      <c r="AB7" s="59"/>
      <c r="AC7" s="59"/>
      <c r="AD7" s="59"/>
      <c r="AE7" s="60"/>
    </row>
    <row r="8" spans="2:31" ht="21.5" customHeight="1" thickBot="1" x14ac:dyDescent="0.4">
      <c r="B8" s="58"/>
      <c r="C8" s="59"/>
      <c r="D8" s="59"/>
      <c r="E8" s="18">
        <f ca="1">AVERAGEIF(Population_Data!B7:B507,"M",Population_Data!D7:D507)</f>
        <v>31.380165289256198</v>
      </c>
      <c r="F8" s="19">
        <f ca="1">AVERAGEIF(Population_Data!B7:B507,"F",Population_Data!D7:D507)</f>
        <v>31.617760617760617</v>
      </c>
      <c r="G8" s="59"/>
      <c r="H8" s="59"/>
      <c r="I8" s="59"/>
      <c r="J8" s="59"/>
      <c r="K8" s="59"/>
      <c r="L8" s="59"/>
      <c r="M8" s="59"/>
      <c r="N8" s="59"/>
      <c r="O8" s="59"/>
      <c r="P8" s="18">
        <f ca="1">AVERAGEIF(Population_Data!B7:B507,"M",Population_Data!L7:L507)</f>
        <v>63383.871900826445</v>
      </c>
      <c r="Q8" s="19">
        <f ca="1">AVERAGEIF(Population_Data!B7:B507,"F",Population_Data!L7:L507)</f>
        <v>63571.289575289578</v>
      </c>
      <c r="R8" s="59"/>
      <c r="S8" s="27">
        <f ca="1">SUM(Population_Data!I7:I507)</f>
        <v>725</v>
      </c>
      <c r="T8" s="27">
        <f ca="1">SUM(Population_Data!O7:O507)</f>
        <v>22781809.293539457</v>
      </c>
      <c r="U8" s="59"/>
      <c r="V8" s="59"/>
      <c r="W8" s="59"/>
      <c r="X8" s="59"/>
      <c r="Y8" s="59"/>
      <c r="Z8" s="59"/>
      <c r="AA8" s="59"/>
      <c r="AB8" s="59"/>
      <c r="AC8" s="59"/>
      <c r="AD8" s="59"/>
      <c r="AE8" s="60"/>
    </row>
    <row r="9" spans="2:31" x14ac:dyDescent="0.35">
      <c r="B9" s="58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60"/>
    </row>
    <row r="10" spans="2:31" x14ac:dyDescent="0.35">
      <c r="B10" s="58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60"/>
    </row>
    <row r="11" spans="2:31" x14ac:dyDescent="0.35">
      <c r="B11" s="58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60"/>
    </row>
    <row r="12" spans="2:31" x14ac:dyDescent="0.35"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  <c r="AB12" s="59"/>
      <c r="AC12" s="59"/>
      <c r="AD12" s="59"/>
      <c r="AE12" s="60"/>
    </row>
    <row r="13" spans="2:31" x14ac:dyDescent="0.35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60"/>
    </row>
    <row r="14" spans="2:31" x14ac:dyDescent="0.35">
      <c r="B14" s="58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60"/>
    </row>
    <row r="15" spans="2:31" x14ac:dyDescent="0.35">
      <c r="B15" s="58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60"/>
    </row>
    <row r="16" spans="2:31" x14ac:dyDescent="0.35">
      <c r="B16" s="58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60"/>
    </row>
    <row r="17" spans="1:31" x14ac:dyDescent="0.35">
      <c r="B17" s="58"/>
      <c r="C17" s="59"/>
      <c r="D17" s="59"/>
      <c r="E17" s="59"/>
      <c r="F17" s="59"/>
      <c r="G17" s="59"/>
      <c r="H17" s="62"/>
      <c r="I17" s="59"/>
      <c r="J17" s="59"/>
      <c r="K17" s="20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60"/>
    </row>
    <row r="18" spans="1:31" x14ac:dyDescent="0.35">
      <c r="B18" s="58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60"/>
    </row>
    <row r="19" spans="1:31" x14ac:dyDescent="0.35">
      <c r="B19" s="58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60"/>
    </row>
    <row r="20" spans="1:31" ht="37" customHeight="1" x14ac:dyDescent="0.35">
      <c r="B20" s="72" t="s">
        <v>69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59"/>
      <c r="AE20" s="60"/>
    </row>
    <row r="21" spans="1:31" s="2" customFormat="1" x14ac:dyDescent="0.35">
      <c r="B21" s="74" t="s">
        <v>19</v>
      </c>
      <c r="C21" s="75" t="s">
        <v>26</v>
      </c>
      <c r="D21" s="75" t="s">
        <v>20</v>
      </c>
      <c r="E21" s="75" t="s">
        <v>21</v>
      </c>
      <c r="F21" s="75" t="s">
        <v>22</v>
      </c>
      <c r="G21" s="75" t="s">
        <v>23</v>
      </c>
      <c r="H21" s="75" t="s">
        <v>24</v>
      </c>
      <c r="I21" s="75" t="s">
        <v>25</v>
      </c>
      <c r="J21" s="75" t="s">
        <v>27</v>
      </c>
      <c r="K21" s="75" t="s">
        <v>28</v>
      </c>
      <c r="L21" s="75" t="s">
        <v>29</v>
      </c>
      <c r="M21" s="75" t="s">
        <v>30</v>
      </c>
      <c r="N21" s="75" t="s">
        <v>31</v>
      </c>
      <c r="O21" s="75" t="s">
        <v>32</v>
      </c>
      <c r="P21" s="75" t="s">
        <v>33</v>
      </c>
      <c r="Q21" s="75" t="s">
        <v>34</v>
      </c>
      <c r="R21" s="75" t="s">
        <v>35</v>
      </c>
      <c r="S21" s="75" t="s">
        <v>36</v>
      </c>
      <c r="T21" s="75" t="s">
        <v>37</v>
      </c>
      <c r="U21" s="75" t="s">
        <v>38</v>
      </c>
      <c r="V21" s="75" t="s">
        <v>39</v>
      </c>
      <c r="W21" s="75" t="s">
        <v>40</v>
      </c>
      <c r="X21" s="75" t="s">
        <v>41</v>
      </c>
      <c r="Y21" s="75" t="s">
        <v>42</v>
      </c>
      <c r="Z21" s="75" t="s">
        <v>43</v>
      </c>
      <c r="AA21" s="75" t="s">
        <v>44</v>
      </c>
      <c r="AB21" s="75" t="s">
        <v>45</v>
      </c>
      <c r="AC21" s="75" t="s">
        <v>46</v>
      </c>
      <c r="AD21" s="76"/>
      <c r="AE21" s="77"/>
    </row>
    <row r="22" spans="1:31" x14ac:dyDescent="0.35">
      <c r="A22" s="70"/>
      <c r="B22" s="78">
        <f ca="1">COUNTIF(Population_Data!$K$7:$K$507,Dashboard!B21)</f>
        <v>15</v>
      </c>
      <c r="C22" s="79">
        <f ca="1">COUNTIF(Population_Data!$K$7:$K$507,Dashboard!C21)</f>
        <v>17</v>
      </c>
      <c r="D22" s="79">
        <f ca="1">COUNTIF(Population_Data!$K$7:$K$507,Dashboard!D21)</f>
        <v>16</v>
      </c>
      <c r="E22" s="79">
        <f ca="1">COUNTIF(Population_Data!$K$7:$K$507,Dashboard!E21)</f>
        <v>13</v>
      </c>
      <c r="F22" s="79">
        <f ca="1">COUNTIF(Population_Data!$K$7:$K$507,Dashboard!F21)</f>
        <v>18</v>
      </c>
      <c r="G22" s="79">
        <f ca="1">COUNTIF(Population_Data!$K$7:$K$507,Dashboard!G21)</f>
        <v>12</v>
      </c>
      <c r="H22" s="79">
        <f ca="1">COUNTIF(Population_Data!$K$7:$K$507,Dashboard!H21)</f>
        <v>18</v>
      </c>
      <c r="I22" s="79">
        <f ca="1">COUNTIF(Population_Data!$K$7:$K$507,Dashboard!I21)</f>
        <v>15</v>
      </c>
      <c r="J22" s="79">
        <f ca="1">COUNTIF(Population_Data!$K$7:$K$507,Dashboard!J21)</f>
        <v>16</v>
      </c>
      <c r="K22" s="79">
        <f ca="1">COUNTIF(Population_Data!$K$7:$K$507,Dashboard!K21)</f>
        <v>16</v>
      </c>
      <c r="L22" s="79">
        <f ca="1">COUNTIF(Population_Data!$K$7:$K$507,Dashboard!L21)</f>
        <v>16</v>
      </c>
      <c r="M22" s="79">
        <f ca="1">COUNTIF(Population_Data!$K$7:$K$507,Dashboard!M21)</f>
        <v>20</v>
      </c>
      <c r="N22" s="79">
        <f ca="1">COUNTIF(Population_Data!$K$7:$K$507,Dashboard!N21)</f>
        <v>11</v>
      </c>
      <c r="O22" s="79">
        <f ca="1">COUNTIF(Population_Data!$K$7:$K$507,Dashboard!O21)</f>
        <v>20</v>
      </c>
      <c r="P22" s="79">
        <f ca="1">COUNTIF(Population_Data!$K$7:$K$507,Dashboard!P21)</f>
        <v>26</v>
      </c>
      <c r="Q22" s="79">
        <f ca="1">COUNTIF(Population_Data!$K$7:$K$507,Dashboard!Q21)</f>
        <v>19</v>
      </c>
      <c r="R22" s="79">
        <f ca="1">COUNTIF(Population_Data!$K$7:$K$507,Dashboard!R21)</f>
        <v>21</v>
      </c>
      <c r="S22" s="79">
        <f ca="1">COUNTIF(Population_Data!$K$7:$K$507,Dashboard!S21)</f>
        <v>22</v>
      </c>
      <c r="T22" s="79">
        <f ca="1">COUNTIF(Population_Data!$K$7:$K$507,Dashboard!T21)</f>
        <v>15</v>
      </c>
      <c r="U22" s="79">
        <f ca="1">COUNTIF(Population_Data!$K$7:$K$507,Dashboard!U21)</f>
        <v>29</v>
      </c>
      <c r="V22" s="79">
        <f ca="1">COUNTIF(Population_Data!$K$7:$K$507,Dashboard!V21)</f>
        <v>19</v>
      </c>
      <c r="W22" s="79">
        <f ca="1">COUNTIF(Population_Data!$K$7:$K$507,Dashboard!W21)</f>
        <v>14</v>
      </c>
      <c r="X22" s="79">
        <f ca="1">COUNTIF(Population_Data!$K$7:$K$507,Dashboard!X21)</f>
        <v>14</v>
      </c>
      <c r="Y22" s="79">
        <f ca="1">COUNTIF(Population_Data!$K$7:$K$507,Dashboard!Y21)</f>
        <v>15</v>
      </c>
      <c r="Z22" s="79">
        <f ca="1">COUNTIF(Population_Data!$K$7:$K$507,Dashboard!Z21)</f>
        <v>17</v>
      </c>
      <c r="AA22" s="79">
        <f ca="1">COUNTIF(Population_Data!$K$7:$K$507,Dashboard!AA21)</f>
        <v>27</v>
      </c>
      <c r="AB22" s="79">
        <f ca="1">COUNTIF(Population_Data!$K$7:$K$507,Dashboard!AB21)</f>
        <v>22</v>
      </c>
      <c r="AC22" s="79">
        <f ca="1">COUNTIF(Population_Data!$K$7:$K$507,Dashboard!AC21)</f>
        <v>18</v>
      </c>
      <c r="AD22" s="59"/>
      <c r="AE22" s="60"/>
    </row>
    <row r="23" spans="1:31" s="66" customFormat="1" x14ac:dyDescent="0.35">
      <c r="A23" s="71"/>
      <c r="B23" s="80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69"/>
      <c r="AE23" s="82"/>
    </row>
    <row r="24" spans="1:31" s="66" customFormat="1" x14ac:dyDescent="0.35">
      <c r="A24" s="71"/>
      <c r="B24" s="80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69"/>
      <c r="AE24" s="82"/>
    </row>
    <row r="25" spans="1:31" s="66" customFormat="1" x14ac:dyDescent="0.35">
      <c r="A25" s="71"/>
      <c r="B25" s="80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69"/>
      <c r="AE25" s="82"/>
    </row>
    <row r="26" spans="1:31" s="66" customFormat="1" x14ac:dyDescent="0.35">
      <c r="A26" s="71"/>
      <c r="B26" s="80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69"/>
      <c r="AE26" s="82"/>
    </row>
    <row r="27" spans="1:31" s="66" customFormat="1" x14ac:dyDescent="0.35">
      <c r="A27" s="71"/>
      <c r="B27" s="80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69"/>
      <c r="AE27" s="82"/>
    </row>
    <row r="28" spans="1:31" s="66" customFormat="1" x14ac:dyDescent="0.35">
      <c r="A28" s="71"/>
      <c r="B28" s="80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69"/>
      <c r="AE28" s="82"/>
    </row>
    <row r="29" spans="1:31" s="66" customFormat="1" x14ac:dyDescent="0.35">
      <c r="A29" s="69"/>
      <c r="B29" s="83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69"/>
      <c r="AE29" s="82"/>
    </row>
    <row r="30" spans="1:31" s="66" customFormat="1" x14ac:dyDescent="0.35">
      <c r="A30" s="69"/>
      <c r="B30" s="83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69"/>
      <c r="AE30" s="82"/>
    </row>
    <row r="31" spans="1:31" s="66" customFormat="1" x14ac:dyDescent="0.35">
      <c r="A31" s="69"/>
      <c r="B31" s="83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69"/>
      <c r="AE31" s="82"/>
    </row>
    <row r="32" spans="1:31" s="66" customFormat="1" x14ac:dyDescent="0.35">
      <c r="A32" s="69"/>
      <c r="B32" s="83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69"/>
      <c r="AE32" s="82"/>
    </row>
    <row r="33" spans="1:31" s="66" customFormat="1" x14ac:dyDescent="0.35">
      <c r="A33" s="69"/>
      <c r="B33" s="83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69"/>
      <c r="AE33" s="82"/>
    </row>
    <row r="34" spans="1:31" s="66" customFormat="1" x14ac:dyDescent="0.35">
      <c r="A34" s="69"/>
      <c r="B34" s="83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9"/>
      <c r="AE34" s="82"/>
    </row>
    <row r="35" spans="1:31" ht="14" customHeight="1" thickBot="1" x14ac:dyDescent="0.4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5"/>
    </row>
    <row r="36" spans="1:31" ht="14" customHeight="1" x14ac:dyDescent="0.35"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</row>
    <row r="37" spans="1:31" ht="14" customHeight="1" x14ac:dyDescent="0.35"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</row>
    <row r="38" spans="1:31" ht="14" customHeight="1" x14ac:dyDescent="0.35"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</row>
    <row r="39" spans="1:31" ht="14" customHeight="1" x14ac:dyDescent="0.3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</row>
    <row r="40" spans="1:31" ht="14" customHeight="1" thickBot="1" x14ac:dyDescent="0.4"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</row>
    <row r="41" spans="1:31" ht="14" customHeight="1" x14ac:dyDescent="0.35">
      <c r="B41" s="52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7"/>
      <c r="AE41" s="59"/>
    </row>
    <row r="42" spans="1:31" ht="14" customHeight="1" thickBot="1" x14ac:dyDescent="0.4">
      <c r="B42" s="58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60"/>
    </row>
    <row r="43" spans="1:31" ht="37.5" thickBot="1" x14ac:dyDescent="0.4">
      <c r="B43" s="58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35" t="s">
        <v>79</v>
      </c>
      <c r="O43" s="36"/>
      <c r="P43" s="37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60"/>
    </row>
    <row r="44" spans="1:31" x14ac:dyDescent="0.35">
      <c r="B44" s="58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60"/>
    </row>
    <row r="45" spans="1:31" x14ac:dyDescent="0.35">
      <c r="B45" s="58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60"/>
    </row>
    <row r="46" spans="1:31" ht="28.5" customHeight="1" x14ac:dyDescent="0.35"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  <c r="AA46" s="73"/>
      <c r="AB46" s="73"/>
      <c r="AC46" s="73"/>
      <c r="AD46" s="60"/>
    </row>
    <row r="47" spans="1:31" s="2" customFormat="1" x14ac:dyDescent="0.35">
      <c r="B47" s="74" t="s">
        <v>19</v>
      </c>
      <c r="C47" s="75" t="s">
        <v>26</v>
      </c>
      <c r="D47" s="75" t="s">
        <v>20</v>
      </c>
      <c r="E47" s="75" t="s">
        <v>21</v>
      </c>
      <c r="F47" s="75" t="s">
        <v>22</v>
      </c>
      <c r="G47" s="75" t="s">
        <v>23</v>
      </c>
      <c r="H47" s="75" t="s">
        <v>24</v>
      </c>
      <c r="I47" s="75" t="s">
        <v>25</v>
      </c>
      <c r="J47" s="75" t="s">
        <v>27</v>
      </c>
      <c r="K47" s="75" t="s">
        <v>28</v>
      </c>
      <c r="L47" s="75" t="s">
        <v>29</v>
      </c>
      <c r="M47" s="75" t="s">
        <v>30</v>
      </c>
      <c r="N47" s="75" t="s">
        <v>31</v>
      </c>
      <c r="O47" s="75" t="s">
        <v>32</v>
      </c>
      <c r="P47" s="75" t="s">
        <v>33</v>
      </c>
      <c r="Q47" s="75" t="s">
        <v>34</v>
      </c>
      <c r="R47" s="75" t="s">
        <v>35</v>
      </c>
      <c r="S47" s="75" t="s">
        <v>36</v>
      </c>
      <c r="T47" s="75" t="s">
        <v>37</v>
      </c>
      <c r="U47" s="75" t="s">
        <v>38</v>
      </c>
      <c r="V47" s="75" t="s">
        <v>39</v>
      </c>
      <c r="W47" s="75" t="s">
        <v>40</v>
      </c>
      <c r="X47" s="75" t="s">
        <v>41</v>
      </c>
      <c r="Y47" s="75" t="s">
        <v>42</v>
      </c>
      <c r="Z47" s="75" t="s">
        <v>43</v>
      </c>
      <c r="AA47" s="75" t="s">
        <v>44</v>
      </c>
      <c r="AB47" s="75" t="s">
        <v>45</v>
      </c>
      <c r="AC47" s="75" t="s">
        <v>46</v>
      </c>
      <c r="AD47" s="77"/>
    </row>
    <row r="48" spans="1:31" x14ac:dyDescent="0.35">
      <c r="B48" s="78">
        <f ca="1">SUMIF(Population_Data!$K$7:$K$507,Dashboard!B47,Population_Data!$L$7:$L$507)</f>
        <v>878514</v>
      </c>
      <c r="C48" s="79">
        <f ca="1">SUMIF(Population_Data!$K$7:$K$507,Dashboard!C47,Population_Data!$L$7:$L$507)</f>
        <v>1177880</v>
      </c>
      <c r="D48" s="79">
        <f ca="1">SUMIF(Population_Data!$K$7:$K$507,Dashboard!D47,Population_Data!$L$7:$L$507)</f>
        <v>1003081</v>
      </c>
      <c r="E48" s="79">
        <f ca="1">SUMIF(Population_Data!$K$7:$K$507,Dashboard!E47,Population_Data!$L$7:$L$507)</f>
        <v>851535</v>
      </c>
      <c r="F48" s="79">
        <f ca="1">SUMIF(Population_Data!$K$7:$K$507,Dashboard!F47,Population_Data!$L$7:$L$507)</f>
        <v>1059950</v>
      </c>
      <c r="G48" s="79">
        <f ca="1">SUMIF(Population_Data!$K$7:$K$507,Dashboard!G47,Population_Data!$L$7:$L$507)</f>
        <v>681262</v>
      </c>
      <c r="H48" s="79">
        <f ca="1">SUMIF(Population_Data!$K$7:$K$507,Dashboard!H47,Population_Data!$L$7:$L$507)</f>
        <v>1175535</v>
      </c>
      <c r="I48" s="79">
        <f ca="1">SUMIF(Population_Data!$K$7:$K$507,Dashboard!I47,Population_Data!$L$7:$L$507)</f>
        <v>934195</v>
      </c>
      <c r="J48" s="79">
        <f ca="1">SUMIF(Population_Data!$K$7:$K$507,Dashboard!J47,Population_Data!$L$7:$L$507)</f>
        <v>1144538</v>
      </c>
      <c r="K48" s="79">
        <f ca="1">SUMIF(Population_Data!$K$7:$K$507,Dashboard!K47,Population_Data!$L$7:$L$507)</f>
        <v>1021179</v>
      </c>
      <c r="L48" s="79">
        <f ca="1">SUMIF(Population_Data!$K$7:$K$507,Dashboard!L47,Population_Data!$L$7:$L$507)</f>
        <v>1025976</v>
      </c>
      <c r="M48" s="79">
        <f ca="1">SUMIF(Population_Data!$K$7:$K$507,Dashboard!M47,Population_Data!$L$7:$L$507)</f>
        <v>1239752</v>
      </c>
      <c r="N48" s="79">
        <f ca="1">SUMIF(Population_Data!$K$7:$K$507,Dashboard!N47,Population_Data!$L$7:$L$507)</f>
        <v>741193</v>
      </c>
      <c r="O48" s="79">
        <f ca="1">SUMIF(Population_Data!$K$7:$K$507,Dashboard!O47,Population_Data!$L$7:$L$507)</f>
        <v>1129299</v>
      </c>
      <c r="P48" s="79">
        <f ca="1">SUMIF(Population_Data!$K$7:$K$507,Dashboard!P47,Population_Data!$L$7:$L$507)</f>
        <v>1717783</v>
      </c>
      <c r="Q48" s="79">
        <f ca="1">SUMIF(Population_Data!$K$7:$K$507,Dashboard!Q47,Population_Data!$L$7:$L$507)</f>
        <v>1240583</v>
      </c>
      <c r="R48" s="79">
        <f ca="1">SUMIF(Population_Data!$K$7:$K$507,Dashboard!R47,Population_Data!$L$7:$L$507)</f>
        <v>1321006</v>
      </c>
      <c r="S48" s="79">
        <f ca="1">SUMIF(Population_Data!$K$7:$K$507,Dashboard!S47,Population_Data!$L$7:$L$507)</f>
        <v>1451030</v>
      </c>
      <c r="T48" s="79">
        <f ca="1">SUMIF(Population_Data!$K$7:$K$507,Dashboard!T47,Population_Data!$L$7:$L$507)</f>
        <v>1003706</v>
      </c>
      <c r="U48" s="79">
        <f ca="1">SUMIF(Population_Data!$K$7:$K$507,Dashboard!U47,Population_Data!$L$7:$L$507)</f>
        <v>1856711</v>
      </c>
      <c r="V48" s="79">
        <f ca="1">SUMIF(Population_Data!$K$7:$K$507,Dashboard!V47,Population_Data!$L$7:$L$507)</f>
        <v>1283192</v>
      </c>
      <c r="W48" s="79">
        <f ca="1">SUMIF(Population_Data!$K$7:$K$507,Dashboard!W47,Population_Data!$L$7:$L$507)</f>
        <v>832429</v>
      </c>
      <c r="X48" s="79">
        <f ca="1">SUMIF(Population_Data!$K$7:$K$507,Dashboard!X47,Population_Data!$L$7:$L$507)</f>
        <v>856422</v>
      </c>
      <c r="Y48" s="79">
        <f ca="1">SUMIF(Population_Data!$K$7:$K$507,Dashboard!Y47,Population_Data!$L$7:$L$507)</f>
        <v>911275</v>
      </c>
      <c r="Z48" s="79">
        <f ca="1">SUMIF(Population_Data!$K$7:$K$507,Dashboard!Z47,Population_Data!$L$7:$L$507)</f>
        <v>943052</v>
      </c>
      <c r="AA48" s="79">
        <f ca="1">SUMIF(Population_Data!$K$7:$K$507,Dashboard!AA47,Population_Data!$L$7:$L$507)</f>
        <v>1695250</v>
      </c>
      <c r="AB48" s="79">
        <f ca="1">SUMIF(Population_Data!$K$7:$K$507,Dashboard!AB47,Population_Data!$L$7:$L$507)</f>
        <v>1401738</v>
      </c>
      <c r="AC48" s="79">
        <f ca="1">SUMIF(Population_Data!$K$7:$K$507,Dashboard!AC47,Population_Data!$L$7:$L$507)</f>
        <v>1225795</v>
      </c>
      <c r="AD48" s="60"/>
    </row>
    <row r="49" spans="2:30" x14ac:dyDescent="0.35">
      <c r="B49" s="58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60"/>
    </row>
    <row r="50" spans="2:30" ht="25.5" customHeight="1" x14ac:dyDescent="0.35">
      <c r="B50" s="72" t="s">
        <v>81</v>
      </c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60"/>
    </row>
    <row r="51" spans="2:30" s="2" customFormat="1" x14ac:dyDescent="0.35">
      <c r="B51" s="74" t="s">
        <v>19</v>
      </c>
      <c r="C51" s="75" t="s">
        <v>26</v>
      </c>
      <c r="D51" s="75" t="s">
        <v>20</v>
      </c>
      <c r="E51" s="75" t="s">
        <v>21</v>
      </c>
      <c r="F51" s="75" t="s">
        <v>22</v>
      </c>
      <c r="G51" s="75" t="s">
        <v>23</v>
      </c>
      <c r="H51" s="75" t="s">
        <v>24</v>
      </c>
      <c r="I51" s="75" t="s">
        <v>25</v>
      </c>
      <c r="J51" s="75" t="s">
        <v>27</v>
      </c>
      <c r="K51" s="75" t="s">
        <v>28</v>
      </c>
      <c r="L51" s="75" t="s">
        <v>29</v>
      </c>
      <c r="M51" s="75" t="s">
        <v>30</v>
      </c>
      <c r="N51" s="75" t="s">
        <v>31</v>
      </c>
      <c r="O51" s="75" t="s">
        <v>32</v>
      </c>
      <c r="P51" s="75" t="s">
        <v>33</v>
      </c>
      <c r="Q51" s="75" t="s">
        <v>34</v>
      </c>
      <c r="R51" s="75" t="s">
        <v>35</v>
      </c>
      <c r="S51" s="75" t="s">
        <v>36</v>
      </c>
      <c r="T51" s="75" t="s">
        <v>37</v>
      </c>
      <c r="U51" s="75" t="s">
        <v>38</v>
      </c>
      <c r="V51" s="75" t="s">
        <v>39</v>
      </c>
      <c r="W51" s="75" t="s">
        <v>40</v>
      </c>
      <c r="X51" s="75" t="s">
        <v>41</v>
      </c>
      <c r="Y51" s="75" t="s">
        <v>42</v>
      </c>
      <c r="Z51" s="75" t="s">
        <v>43</v>
      </c>
      <c r="AA51" s="75" t="s">
        <v>44</v>
      </c>
      <c r="AB51" s="75" t="s">
        <v>45</v>
      </c>
      <c r="AC51" s="75" t="s">
        <v>46</v>
      </c>
      <c r="AD51" s="77"/>
    </row>
    <row r="52" spans="2:30" x14ac:dyDescent="0.35">
      <c r="B52" s="78">
        <f ca="1">B48/B22</f>
        <v>58567.6</v>
      </c>
      <c r="C52" s="79">
        <f t="shared" ref="C52:AC52" ca="1" si="0">C48/C22</f>
        <v>69287.058823529413</v>
      </c>
      <c r="D52" s="79">
        <f t="shared" ca="1" si="0"/>
        <v>62692.5625</v>
      </c>
      <c r="E52" s="79">
        <f t="shared" ca="1" si="0"/>
        <v>65502.692307692305</v>
      </c>
      <c r="F52" s="79">
        <f t="shared" ca="1" si="0"/>
        <v>58886.111111111109</v>
      </c>
      <c r="G52" s="79">
        <f t="shared" ca="1" si="0"/>
        <v>56771.833333333336</v>
      </c>
      <c r="H52" s="79">
        <f t="shared" ca="1" si="0"/>
        <v>65307.5</v>
      </c>
      <c r="I52" s="79">
        <f t="shared" ca="1" si="0"/>
        <v>62279.666666666664</v>
      </c>
      <c r="J52" s="79">
        <f t="shared" ca="1" si="0"/>
        <v>71533.625</v>
      </c>
      <c r="K52" s="79">
        <f t="shared" ca="1" si="0"/>
        <v>63823.6875</v>
      </c>
      <c r="L52" s="79">
        <f t="shared" ca="1" si="0"/>
        <v>64123.5</v>
      </c>
      <c r="M52" s="79">
        <f t="shared" ca="1" si="0"/>
        <v>61987.6</v>
      </c>
      <c r="N52" s="79">
        <f t="shared" ca="1" si="0"/>
        <v>67381.181818181823</v>
      </c>
      <c r="O52" s="79">
        <f t="shared" ca="1" si="0"/>
        <v>56464.95</v>
      </c>
      <c r="P52" s="79">
        <f t="shared" ca="1" si="0"/>
        <v>66068.576923076922</v>
      </c>
      <c r="Q52" s="79">
        <f t="shared" ca="1" si="0"/>
        <v>65293.84210526316</v>
      </c>
      <c r="R52" s="79">
        <f t="shared" ca="1" si="0"/>
        <v>62905.047619047618</v>
      </c>
      <c r="S52" s="79">
        <f t="shared" ca="1" si="0"/>
        <v>65955.909090909088</v>
      </c>
      <c r="T52" s="79">
        <f t="shared" ca="1" si="0"/>
        <v>66913.733333333337</v>
      </c>
      <c r="U52" s="79">
        <f t="shared" ca="1" si="0"/>
        <v>64024.517241379312</v>
      </c>
      <c r="V52" s="79">
        <f t="shared" ca="1" si="0"/>
        <v>67536.421052631573</v>
      </c>
      <c r="W52" s="79">
        <f t="shared" ca="1" si="0"/>
        <v>59459.214285714283</v>
      </c>
      <c r="X52" s="79">
        <f t="shared" ca="1" si="0"/>
        <v>61173</v>
      </c>
      <c r="Y52" s="79">
        <f t="shared" ca="1" si="0"/>
        <v>60751.666666666664</v>
      </c>
      <c r="Z52" s="79">
        <f t="shared" ca="1" si="0"/>
        <v>55473.647058823532</v>
      </c>
      <c r="AA52" s="79">
        <f t="shared" ca="1" si="0"/>
        <v>62787.037037037036</v>
      </c>
      <c r="AB52" s="79">
        <f t="shared" ca="1" si="0"/>
        <v>63715.36363636364</v>
      </c>
      <c r="AC52" s="79">
        <f t="shared" ca="1" si="0"/>
        <v>68099.722222222219</v>
      </c>
      <c r="AD52" s="60"/>
    </row>
    <row r="53" spans="2:30" x14ac:dyDescent="0.35">
      <c r="B53" s="78"/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79"/>
      <c r="AA53" s="79"/>
      <c r="AB53" s="79"/>
      <c r="AC53" s="79"/>
      <c r="AD53" s="60"/>
    </row>
    <row r="54" spans="2:30" x14ac:dyDescent="0.35">
      <c r="B54" s="78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79"/>
      <c r="AA54" s="79"/>
      <c r="AB54" s="79"/>
      <c r="AC54" s="79"/>
      <c r="AD54" s="60"/>
    </row>
    <row r="55" spans="2:30" x14ac:dyDescent="0.35">
      <c r="B55" s="78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79"/>
      <c r="AB55" s="79"/>
      <c r="AC55" s="79"/>
      <c r="AD55" s="60"/>
    </row>
    <row r="56" spans="2:30" x14ac:dyDescent="0.35">
      <c r="B56" s="78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79"/>
      <c r="AA56" s="79"/>
      <c r="AB56" s="79"/>
      <c r="AC56" s="79"/>
      <c r="AD56" s="60"/>
    </row>
    <row r="57" spans="2:30" x14ac:dyDescent="0.35">
      <c r="B57" s="78"/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79"/>
      <c r="AA57" s="79"/>
      <c r="AB57" s="79"/>
      <c r="AC57" s="79"/>
      <c r="AD57" s="60"/>
    </row>
    <row r="58" spans="2:30" x14ac:dyDescent="0.35">
      <c r="B58" s="78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79"/>
      <c r="AA58" s="79"/>
      <c r="AB58" s="79"/>
      <c r="AC58" s="79"/>
      <c r="AD58" s="60"/>
    </row>
    <row r="59" spans="2:30" x14ac:dyDescent="0.35">
      <c r="B59" s="78"/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60"/>
    </row>
    <row r="60" spans="2:30" x14ac:dyDescent="0.35">
      <c r="B60" s="78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79"/>
      <c r="AA60" s="79"/>
      <c r="AB60" s="79"/>
      <c r="AC60" s="79"/>
      <c r="AD60" s="60"/>
    </row>
    <row r="61" spans="2:30" x14ac:dyDescent="0.35">
      <c r="B61" s="78"/>
      <c r="C61" s="79"/>
      <c r="D61" s="79"/>
      <c r="E61" s="79"/>
      <c r="F61" s="79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79"/>
      <c r="AB61" s="79"/>
      <c r="AC61" s="79"/>
      <c r="AD61" s="60"/>
    </row>
    <row r="62" spans="2:30" x14ac:dyDescent="0.35">
      <c r="B62" s="78"/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79"/>
      <c r="AA62" s="79"/>
      <c r="AB62" s="79"/>
      <c r="AC62" s="79"/>
      <c r="AD62" s="60"/>
    </row>
    <row r="63" spans="2:30" x14ac:dyDescent="0.35">
      <c r="B63" s="85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7"/>
      <c r="P63" s="67"/>
      <c r="Q63" s="67"/>
      <c r="R63" s="67"/>
      <c r="S63" s="67"/>
      <c r="T63" s="67"/>
      <c r="U63" s="67"/>
      <c r="V63" s="67"/>
      <c r="W63" s="67"/>
      <c r="X63" s="67"/>
      <c r="Y63" s="67"/>
      <c r="Z63" s="67"/>
      <c r="AA63" s="67"/>
      <c r="AB63" s="67"/>
      <c r="AC63" s="67"/>
      <c r="AD63" s="60"/>
    </row>
    <row r="64" spans="2:30" s="69" customFormat="1" x14ac:dyDescent="0.35">
      <c r="B64" s="83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82"/>
    </row>
    <row r="65" spans="2:30" s="69" customFormat="1" x14ac:dyDescent="0.35">
      <c r="B65" s="83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82"/>
    </row>
    <row r="66" spans="2:30" x14ac:dyDescent="0.35">
      <c r="B66" s="58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  <c r="X66" s="59"/>
      <c r="Y66" s="59"/>
      <c r="Z66" s="59"/>
      <c r="AA66" s="59"/>
      <c r="AB66" s="59"/>
      <c r="AC66" s="59"/>
      <c r="AD66" s="60"/>
    </row>
    <row r="67" spans="2:30" x14ac:dyDescent="0.35">
      <c r="B67" s="58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  <c r="X67" s="59"/>
      <c r="Y67" s="59"/>
      <c r="Z67" s="59"/>
      <c r="AA67" s="59"/>
      <c r="AB67" s="59"/>
      <c r="AC67" s="59"/>
      <c r="AD67" s="60"/>
    </row>
    <row r="68" spans="2:30" ht="15" thickBot="1" x14ac:dyDescent="0.4">
      <c r="B68" s="58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  <c r="X68" s="59"/>
      <c r="Y68" s="59"/>
      <c r="Z68" s="59"/>
      <c r="AA68" s="59"/>
      <c r="AB68" s="59"/>
      <c r="AC68" s="59"/>
      <c r="AD68" s="60"/>
    </row>
    <row r="69" spans="2:30" ht="15" thickBot="1" x14ac:dyDescent="0.4">
      <c r="B69" s="86" t="s">
        <v>82</v>
      </c>
      <c r="C69" s="39"/>
      <c r="D69" s="39"/>
      <c r="E69" s="39"/>
      <c r="F69" s="39"/>
      <c r="G69" s="39"/>
      <c r="H69" s="40"/>
      <c r="I69" s="59"/>
      <c r="J69" s="49" t="s">
        <v>84</v>
      </c>
      <c r="K69" s="50"/>
      <c r="L69" s="50"/>
      <c r="M69" s="51"/>
      <c r="N69" s="59"/>
      <c r="O69" s="59"/>
      <c r="P69" s="59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9"/>
      <c r="AD69" s="60"/>
    </row>
    <row r="70" spans="2:30" ht="15" thickBot="1" x14ac:dyDescent="0.4">
      <c r="B70" s="87" t="s">
        <v>2</v>
      </c>
      <c r="C70" s="22" t="s">
        <v>6</v>
      </c>
      <c r="D70" s="22" t="s">
        <v>3</v>
      </c>
      <c r="E70" s="22" t="s">
        <v>4</v>
      </c>
      <c r="F70" s="22" t="s">
        <v>5</v>
      </c>
      <c r="G70" s="22" t="s">
        <v>7</v>
      </c>
      <c r="H70" s="23" t="s">
        <v>8</v>
      </c>
      <c r="I70" s="59"/>
      <c r="J70" s="59"/>
      <c r="K70" s="49">
        <f ca="1">AVERAGEIF(Table1[Net Worth],"&gt; 100000",Table1[Age])</f>
        <v>31.43915343915344</v>
      </c>
      <c r="L70" s="51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9"/>
      <c r="AC70" s="59"/>
      <c r="AD70" s="60"/>
    </row>
    <row r="71" spans="2:30" x14ac:dyDescent="0.35">
      <c r="B71" s="87">
        <f ca="1">SUMIF(Population_Data!$E$7:$E$507,Dashboard!B70,Population_Data!$L$7:$L$507)</f>
        <v>3983817</v>
      </c>
      <c r="C71" s="22">
        <f ca="1">SUMIF(Population_Data!$E$7:$E$507,Dashboard!C70,Population_Data!$L$7:$L$507)</f>
        <v>4541927</v>
      </c>
      <c r="D71" s="22">
        <f ca="1">SUMIF(Population_Data!$E$7:$E$507,Dashboard!D70,Population_Data!$L$7:$L$507)</f>
        <v>4969154</v>
      </c>
      <c r="E71" s="22">
        <f ca="1">SUMIF(Population_Data!$E$7:$E$507,Dashboard!E70,Population_Data!$L$7:$L$507)</f>
        <v>4546196</v>
      </c>
      <c r="F71" s="22">
        <f ca="1">SUMIF(Population_Data!$E$7:$E$507,Dashboard!F70,Population_Data!$L$7:$L$507)</f>
        <v>5100498</v>
      </c>
      <c r="G71" s="22">
        <f ca="1">SUMIF(Population_Data!$E$7:$E$507,Dashboard!G70,Population_Data!$L$7:$L$507)</f>
        <v>4067163</v>
      </c>
      <c r="H71" s="23">
        <f ca="1">SUMIF(Population_Data!$E$7:$E$507,Dashboard!H70,Population_Data!$L$7:$L$507)</f>
        <v>4595106</v>
      </c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  <c r="X71" s="59"/>
      <c r="Y71" s="59"/>
      <c r="Z71" s="59"/>
      <c r="AA71" s="59"/>
      <c r="AB71" s="59"/>
      <c r="AC71" s="59"/>
      <c r="AD71" s="60"/>
    </row>
    <row r="72" spans="2:30" ht="15" thickBot="1" x14ac:dyDescent="0.4">
      <c r="B72" s="58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9"/>
      <c r="AD72" s="60"/>
    </row>
    <row r="73" spans="2:30" ht="15" thickBot="1" x14ac:dyDescent="0.4">
      <c r="B73" s="86" t="s">
        <v>83</v>
      </c>
      <c r="C73" s="39"/>
      <c r="D73" s="39"/>
      <c r="E73" s="39"/>
      <c r="F73" s="39"/>
      <c r="G73" s="39"/>
      <c r="H73" s="40"/>
      <c r="I73" s="59"/>
      <c r="J73" s="49" t="s">
        <v>85</v>
      </c>
      <c r="K73" s="50"/>
      <c r="L73" s="50"/>
      <c r="M73" s="51"/>
      <c r="N73" s="59"/>
      <c r="O73" s="59"/>
      <c r="P73" s="59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9"/>
      <c r="AD73" s="60"/>
    </row>
    <row r="74" spans="2:30" ht="15" thickBot="1" x14ac:dyDescent="0.4">
      <c r="B74" s="87" t="s">
        <v>2</v>
      </c>
      <c r="C74" s="22" t="s">
        <v>6</v>
      </c>
      <c r="D74" s="22" t="s">
        <v>3</v>
      </c>
      <c r="E74" s="22" t="s">
        <v>4</v>
      </c>
      <c r="F74" s="22" t="s">
        <v>5</v>
      </c>
      <c r="G74" s="22" t="s">
        <v>7</v>
      </c>
      <c r="H74" s="23" t="s">
        <v>8</v>
      </c>
      <c r="I74" s="59"/>
      <c r="J74" s="59"/>
      <c r="K74" s="49" cm="1">
        <f t="array" aca="1" ref="K74" ca="1">SUMPRODUCT(--(Population_Data!T2:T507&gt;Population_Data!L2:L507))</f>
        <v>486</v>
      </c>
      <c r="L74" s="51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9"/>
      <c r="AD74" s="60"/>
    </row>
    <row r="75" spans="2:30" x14ac:dyDescent="0.35">
      <c r="B75" s="87">
        <f ca="1">B71/H7</f>
        <v>64255.112903225803</v>
      </c>
      <c r="C75" s="22">
        <f t="shared" ref="C75:H75" ca="1" si="1">C71/I7</f>
        <v>60559.026666666665</v>
      </c>
      <c r="D75" s="22">
        <f t="shared" ca="1" si="1"/>
        <v>62114.425000000003</v>
      </c>
      <c r="E75" s="22">
        <f t="shared" ca="1" si="1"/>
        <v>66855.823529411762</v>
      </c>
      <c r="F75" s="22">
        <f t="shared" ca="1" si="1"/>
        <v>62201.195121951219</v>
      </c>
      <c r="G75" s="22">
        <f t="shared" ca="1" si="1"/>
        <v>65599.403225806454</v>
      </c>
      <c r="H75" s="23">
        <f t="shared" ca="1" si="1"/>
        <v>63820.916666666664</v>
      </c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9"/>
      <c r="AD75" s="60"/>
    </row>
    <row r="76" spans="2:30" x14ac:dyDescent="0.35">
      <c r="B76" s="58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9"/>
      <c r="AD76" s="60"/>
    </row>
    <row r="77" spans="2:30" x14ac:dyDescent="0.35">
      <c r="B77" s="58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60"/>
    </row>
    <row r="78" spans="2:30" x14ac:dyDescent="0.35">
      <c r="B78" s="58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  <c r="X78" s="59"/>
      <c r="Y78" s="59"/>
      <c r="Z78" s="59"/>
      <c r="AA78" s="59"/>
      <c r="AB78" s="59"/>
      <c r="AC78" s="59"/>
      <c r="AD78" s="60"/>
    </row>
    <row r="79" spans="2:30" x14ac:dyDescent="0.35">
      <c r="B79" s="58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9"/>
      <c r="AA79" s="59"/>
      <c r="AB79" s="59"/>
      <c r="AC79" s="59"/>
      <c r="AD79" s="60"/>
    </row>
    <row r="80" spans="2:30" x14ac:dyDescent="0.35">
      <c r="B80" s="58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9"/>
      <c r="AA80" s="59"/>
      <c r="AB80" s="59"/>
      <c r="AC80" s="59"/>
      <c r="AD80" s="60"/>
    </row>
    <row r="81" spans="2:30" x14ac:dyDescent="0.35">
      <c r="B81" s="58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9"/>
      <c r="AA81" s="59"/>
      <c r="AB81" s="59"/>
      <c r="AC81" s="59"/>
      <c r="AD81" s="60"/>
    </row>
    <row r="82" spans="2:30" x14ac:dyDescent="0.35">
      <c r="B82" s="58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  <c r="X82" s="59"/>
      <c r="Y82" s="59"/>
      <c r="Z82" s="59"/>
      <c r="AA82" s="59"/>
      <c r="AB82" s="59"/>
      <c r="AC82" s="59"/>
      <c r="AD82" s="60"/>
    </row>
    <row r="83" spans="2:30" x14ac:dyDescent="0.35">
      <c r="B83" s="58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  <c r="X83" s="59"/>
      <c r="Y83" s="59"/>
      <c r="Z83" s="59"/>
      <c r="AA83" s="59"/>
      <c r="AB83" s="59"/>
      <c r="AC83" s="59"/>
      <c r="AD83" s="60"/>
    </row>
    <row r="84" spans="2:30" x14ac:dyDescent="0.35">
      <c r="B84" s="58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  <c r="X84" s="59"/>
      <c r="Y84" s="59"/>
      <c r="Z84" s="59"/>
      <c r="AA84" s="59"/>
      <c r="AB84" s="59"/>
      <c r="AC84" s="59"/>
      <c r="AD84" s="60"/>
    </row>
    <row r="85" spans="2:30" ht="15" thickBot="1" x14ac:dyDescent="0.4">
      <c r="B85" s="63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  <c r="AA85" s="64"/>
      <c r="AB85" s="64"/>
      <c r="AC85" s="64"/>
      <c r="AD85" s="65"/>
    </row>
  </sheetData>
  <mergeCells count="23">
    <mergeCell ref="B73:H73"/>
    <mergeCell ref="J69:M69"/>
    <mergeCell ref="K70:L70"/>
    <mergeCell ref="K74:L74"/>
    <mergeCell ref="J73:M73"/>
    <mergeCell ref="B50:AC50"/>
    <mergeCell ref="B69:H69"/>
    <mergeCell ref="S5:T5"/>
    <mergeCell ref="S6:T6"/>
    <mergeCell ref="V5:Y5"/>
    <mergeCell ref="V6:Y6"/>
    <mergeCell ref="AA5:AD5"/>
    <mergeCell ref="AA6:AD6"/>
    <mergeCell ref="B5:C5"/>
    <mergeCell ref="E5:F5"/>
    <mergeCell ref="E6:F6"/>
    <mergeCell ref="H5:N5"/>
    <mergeCell ref="B20:AC20"/>
    <mergeCell ref="P5:Q5"/>
    <mergeCell ref="P6:Q6"/>
    <mergeCell ref="N2:P2"/>
    <mergeCell ref="N43:P43"/>
    <mergeCell ref="B46:AC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kaish.automates@outlook.com</dc:creator>
  <cp:lastModifiedBy>kaish.automates@outlook.com</cp:lastModifiedBy>
  <dcterms:created xsi:type="dcterms:W3CDTF">2026-06-22T07:09:06Z</dcterms:created>
  <dcterms:modified xsi:type="dcterms:W3CDTF">2026-06-25T15:54:49Z</dcterms:modified>
</cp:coreProperties>
</file>